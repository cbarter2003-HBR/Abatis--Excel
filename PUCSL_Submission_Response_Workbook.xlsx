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P:\"/>
    </mc:Choice>
  </mc:AlternateContent>
  <xr:revisionPtr revIDLastSave="0" documentId="13_ncr:1_{57DCAC8F-EC55-49A2-AE69-63198C1671AF}" xr6:coauthVersionLast="47" xr6:coauthVersionMax="47" xr10:uidLastSave="{00000000-0000-0000-0000-000000000000}"/>
  <bookViews>
    <workbookView xWindow="-120" yWindow="-120" windowWidth="29040" windowHeight="15990" firstSheet="1" activeTab="6" xr2:uid="{00000000-000D-0000-FFFF-FFFF00000000}"/>
  </bookViews>
  <sheets>
    <sheet name="Overview" sheetId="1" r:id="rId1"/>
    <sheet name="Submission Checklist" sheetId="2" r:id="rId2"/>
    <sheet name="Technical Response Matrix" sheetId="3" r:id="rId3"/>
    <sheet name="Approach &amp; Methodology" sheetId="4" r:id="rId4"/>
    <sheet name="Old Plan (superseded)" sheetId="5" r:id="rId5"/>
    <sheet name="Staffing &amp; Rates" sheetId="6" r:id="rId6"/>
    <sheet name="Financial Summary" sheetId="7" r:id="rId7"/>
    <sheet name="Key Personnel" sheetId="8" r:id="rId8"/>
    <sheet name="Q&amp;A Answers" sheetId="9" r:id="rId9"/>
    <sheet name="Outstanding Items" sheetId="10" r:id="rId10"/>
    <sheet name="TECH-7 Staffing Schedule" sheetId="11" r:id="rIdT7"/>
    <sheet name="TECH-8 Gantt (25 wks)" sheetId="12" r:id="rIdT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6" l="1"/>
  <c r="G4" i="6"/>
  <c r="G5" i="6"/>
  <c r="G6" i="6"/>
  <c r="G7" i="6"/>
  <c r="G8" i="6"/>
  <c r="G16" i="6" s="1"/>
  <c r="C3" i="7" s="1"/>
  <c r="G9" i="6"/>
  <c r="G10" i="6"/>
  <c r="G11" i="6"/>
  <c r="G12" i="6"/>
  <c r="G13" i="6"/>
  <c r="G2" i="6"/>
  <c r="G15" i="6" s="1"/>
  <c r="C2" i="7" s="1"/>
  <c r="C8" i="7" l="1"/>
  <c r="C9" i="7" s="1"/>
  <c r="C10" i="7" s="1"/>
  <c r="C12" i="7" l="1"/>
  <c r="C13" i="7" s="1"/>
</calcChain>
</file>

<file path=xl/sharedStrings.xml><?xml version="1.0" encoding="utf-8"?>
<sst xmlns="http://schemas.openxmlformats.org/spreadsheetml/2006/main" count="549" uniqueCount="387">
  <si>
    <t>PUCSL Submission — Master Response Workbook</t>
  </si>
  <si>
    <t>Assignment</t>
  </si>
  <si>
    <t>Assessment on Cybersecurity Readiness of Electricity Network and Critical Generation Facilities in Sri Lanka and Development of a Cybersecurity Audit Framework Specific to Grid Operations, SCADA and Critical Infrastructure Protection</t>
  </si>
  <si>
    <t>Client / Procuring Entity</t>
  </si>
  <si>
    <t>Public Utilities Commission of Sri Lanka (PUCSL)</t>
  </si>
  <si>
    <t>Bidding Structure</t>
  </si>
  <si>
    <t>Joint Venture: Platinum High Integrity Technologies Limited (Malta) — Lead JV Partner; EML Consultants PLC (Sri Lanka) — Local JV Partner (agreed by email 27–28 Jul 2026)</t>
  </si>
  <si>
    <t>Technical Lead</t>
  </si>
  <si>
    <t>Abatis Security Innovations &amp; Technologies GmbH (Switzerland) — product, methodology, specialist cybersecurity scope</t>
  </si>
  <si>
    <t>Commercial Allocation</t>
  </si>
  <si>
    <t>~70% Platinum/Abatis, ~30% EML (working basis; EML local component to remain below 40%, expected ≈30%)</t>
  </si>
  <si>
    <t>Submission</t>
  </si>
  <si>
    <t>EML coordinates physical preparation and submission in Sri Lanka; all final documentation approved by both parties before submission</t>
  </si>
  <si>
    <t>Evaluation</t>
  </si>
  <si>
    <t>80% Technical / 20% Financial (per EML briefing, 27 Jul 2026 call)</t>
  </si>
  <si>
    <t>Deadline</t>
  </si>
  <si>
    <t>Thursday 30 July 2026 (per EML: 3 days from 27 Jul call) — CONFIRM exact time &amp; venue with EML</t>
  </si>
  <si>
    <t>Core Frameworks</t>
  </si>
  <si>
    <t>C2M2 (DOE Cybersecurity Capability Maturity Model), IEC 62443, NIST Cybersecurity Framework, ISO/IEC 27001/27019; NERC CIP as reference good practice</t>
  </si>
  <si>
    <t>Status Date</t>
  </si>
  <si>
    <t>29 July 2026</t>
  </si>
  <si>
    <t>How to use this workbook</t>
  </si>
  <si>
    <t>1. 'Submission Checklist' — every document the JV must produce, with status and owner.</t>
  </si>
  <si>
    <t>2. 'Technical Response Matrix' — TOR requirement areas with drafted responses (Abatis sections complete; verify against the official tender document once purchased).</t>
  </si>
  <si>
    <t>3. 'Approach &amp; Methodology' and 'Work Plan' — the phased delivery model matching the budget.</t>
  </si>
  <si>
    <t>4. 'Staffing &amp; Rates' and 'Financial Summary' — mirror of Budget_cyber_security.xlsx.</t>
  </si>
  <si>
    <t>5. 'Key Personnel' — nominated experts and credentials.</t>
  </si>
  <si>
    <t>6. 'Q&amp;A Answers' — answers to standard tender questions we can already answer.</t>
  </si>
  <si>
    <t>7. 'Outstanding Items' — what is still needed, from whom, to complete the submission.</t>
  </si>
  <si>
    <t>No.</t>
  </si>
  <si>
    <t>Document / Form</t>
  </si>
  <si>
    <t>Owner</t>
  </si>
  <si>
    <t>Status</t>
  </si>
  <si>
    <t>Notes / Evidence</t>
  </si>
  <si>
    <t>A</t>
  </si>
  <si>
    <t>TECHNICAL PROPOSAL</t>
  </si>
  <si>
    <t>Technical Proposal Submission Form / Covering Letter (signed by Lead JV Partner + EML)</t>
  </si>
  <si>
    <t>Platinum + EML</t>
  </si>
  <si>
    <t>DRAFT NEEDED</t>
  </si>
  <si>
    <t>Letter text drafted in PUCSL_Technical_Proposal_Draft.md §1; needs letterhead + signatures</t>
  </si>
  <si>
    <t>Consultant's Organisation &amp; Experience (firm profiles, similar assignments)</t>
  </si>
  <si>
    <t>Both</t>
  </si>
  <si>
    <t>IN PROGRESS</t>
  </si>
  <si>
    <t>EML profile received (uploaded). Abatis/Platinum profile &amp; reference assignments to be inserted — see Q&amp;A sheet rows 5–9</t>
  </si>
  <si>
    <t>Comments / Suggestions on the Terms of Reference</t>
  </si>
  <si>
    <t>Abatis</t>
  </si>
  <si>
    <t>DRAFTED</t>
  </si>
  <si>
    <t>See Technical Response Matrix rows 20–23; finalise against official TOR</t>
  </si>
  <si>
    <t>Description of Approach, Methodology &amp; Work Plan</t>
  </si>
  <si>
    <t>See Approach &amp; Methodology + Work Plan sheets; narrative in proposal draft §3–4</t>
  </si>
  <si>
    <t>Team Composition &amp; Task Assignments</t>
  </si>
  <si>
    <t>Key Personnel sheet; EML to confirm SCADA/Electrical engineer nominee</t>
  </si>
  <si>
    <t>CVs of Key Experts (signed)</t>
  </si>
  <si>
    <t>OUTSTANDING</t>
  </si>
  <si>
    <t>Abatis: Glyn Richards, Debbie Richards, Chris Barter, Christian Rogan (+ Alex Shipp / William if academic credentials required). EML: DPM SCADA engineer, electrical engineer, stakeholder specialist</t>
  </si>
  <si>
    <t>Work Schedule / Staffing Schedule (bar chart)</t>
  </si>
  <si>
    <t>Work Plan sheet; convert to required form format</t>
  </si>
  <si>
    <t>B</t>
  </si>
  <si>
    <t>FINANCIAL PROPOSAL</t>
  </si>
  <si>
    <t>Financial Proposal Submission Form</t>
  </si>
  <si>
    <t>EML</t>
  </si>
  <si>
    <t>Totals from Financial Summary sheet: USD 192,790.63 excl. taxes; USD 233,180.26 incl. VAT 18% + SSCL 2.5%</t>
  </si>
  <si>
    <t>Summary of Costs / Breakdown by activity</t>
  </si>
  <si>
    <t>EML + Abatis</t>
  </si>
  <si>
    <t>DONE (internal)</t>
  </si>
  <si>
    <t>Budget_cyber_security.xlsx mirrored in Financial Summary sheet</t>
  </si>
  <si>
    <t>Breakdown of Remuneration (rates × man-days)</t>
  </si>
  <si>
    <t>Staffing &amp; Rates sheet</t>
  </si>
  <si>
    <t>Reimbursable Expenses breakdown</t>
  </si>
  <si>
    <t>Travel, workshops, admin lines in Financial Summary</t>
  </si>
  <si>
    <t>C</t>
  </si>
  <si>
    <t>JOINT VENTURE / LEGAL</t>
  </si>
  <si>
    <t>Letter of Intent to form JV (both parties, signed)</t>
  </si>
  <si>
    <t>JV terms agreed by email 27–28 Jul; Platinum Malta = Lead. EML preparing JV intent letter</t>
  </si>
  <si>
    <t>Power of Attorney / authorisation of signatory</t>
  </si>
  <si>
    <t>Confirm PUCSL requirement in official tender doc</t>
  </si>
  <si>
    <t>Bid Security / Bid Declaration (if required)</t>
  </si>
  <si>
    <t>NOT REQUIRED</t>
  </si>
  <si>
    <t>NOT REQUIRED — no bid security requirement in the RFP Data Sheet; SC-6 advance-payment guarantee is post-award</t>
  </si>
  <si>
    <t>D</t>
  </si>
  <si>
    <t>EML STATUTORY DOCUMENTS (received 29 Jul 2026)</t>
  </si>
  <si>
    <t>Business Registration — EML Consultants PLC</t>
  </si>
  <si>
    <t>RECEIVED</t>
  </si>
  <si>
    <t>Reg. No. PQ 00240481 (ROC + Colombo Stock Exchange); name change from (Pvt) Ltd effective 19 Nov 2021 — BR_of_EML.pdf</t>
  </si>
  <si>
    <t>Company Profile</t>
  </si>
  <si>
    <t>EML_COMPANY_PROFILE.pdf — est. 1993 (with E&amp;Y and DHV Netherlands), fully Sri Lankan-owned 2003, listed CSE 2022; only listed consultancy on CSE; 600+ projects</t>
  </si>
  <si>
    <t>Audited Financial Statements — last 3 years</t>
  </si>
  <si>
    <t>EML_Financial_Statements_for_last_3_years.pdf (scanned) — auditor: Lakshman Rupasinghe &amp; Co.</t>
  </si>
  <si>
    <t>ISO Certifications</t>
  </si>
  <si>
    <t>ISO 9001:2015 Cert GISL-0009-QC and ISO 14001:2015 Cert GISL-0009-EC; both initial date 06 Feb 2026 window 2025.02.06–2028.02.05 (verify dates on certificate)</t>
  </si>
  <si>
    <t>E</t>
  </si>
  <si>
    <t>PLATINUM / ABATIS CORPORATE DOCUMENTS</t>
  </si>
  <si>
    <t>Certificate of Incorporation — Platinum High Integrity Technologies (Malta)</t>
  </si>
  <si>
    <t>Platinum</t>
  </si>
  <si>
    <t>Lead JV partner entity; required to mirror EML statutory set</t>
  </si>
  <si>
    <t>Certificate of Incorporation — Abatis Security Innovations &amp; Technologies GmbH (CH)</t>
  </si>
  <si>
    <t>Swiss registry extract; incorporated Oct 2004</t>
  </si>
  <si>
    <t>Abatis/Platinum company profile &amp; credentials pack</t>
  </si>
  <si>
    <t>20+ yrs CNI protection; first client Swiss government/military; zero reported breaches, zero registered vulnerabilities; deployments incl. Gulf smart-city OT programmes</t>
  </si>
  <si>
    <t>Platinum/Abatis financial statements (if required of both JV partners)</t>
  </si>
  <si>
    <t>Confirm whether PUCSL requires financials from both JV partners</t>
  </si>
  <si>
    <t>Professional memberships evidence (MCIIS, IISP)</t>
  </si>
  <si>
    <t>Chris Barter — Full Member, Chartered Institute of Information Security (MCIIS); Glyn &amp; Debbie Richards — full members IISP</t>
  </si>
  <si>
    <t>Ref</t>
  </si>
  <si>
    <t>TOR Requirement / Theme</t>
  </si>
  <si>
    <t>Our Response (summary)</t>
  </si>
  <si>
    <t>Lead</t>
  </si>
  <si>
    <t>Where Detailed</t>
  </si>
  <si>
    <t>1</t>
  </si>
  <si>
    <t>SCOPE — READINESS ASSESSMENT</t>
  </si>
  <si>
    <t>1.1</t>
  </si>
  <si>
    <t>Assess cybersecurity readiness of the electricity transmission &amp; distribution network and critical generation facilities</t>
  </si>
  <si>
    <t>Structured assessment across governance, architecture, OT/ICS operations: document review → site visits → structured interviews (multiple seniority levels per role) → control validation. Coverage: system control centre(s), SCADA/EMS masters, substations/RTUs, generation plant DCS, telecoms/WAN, IT/OT boundary.</t>
  </si>
  <si>
    <t>Proposal §3.1; Approach rows 3–8</t>
  </si>
  <si>
    <t>1.2</t>
  </si>
  <si>
    <t>Evaluate security maturity of SCADA and Energy Management Systems using C2M2</t>
  </si>
  <si>
    <t>DOE C2M2 v2.1 self-evaluation facilitated and independently scored by Abatis across all 10 domains (ASSET, THREAT, RISK, ACCESS, SITUATION, RESPONSE, THIRD-PARTIES, WORKFORCE, ARCHITECTURE, PROGRAM); MIL0–MIL3 scoring per objective, evidence-based, with target-profile gap analysis.</t>
  </si>
  <si>
    <t>Proposal §3.2</t>
  </si>
  <si>
    <t>1.3</t>
  </si>
  <si>
    <t>Identify threats, vulnerabilities and risks to grid operations</t>
  </si>
  <si>
    <t>Threat modelling aligned to MITRE ATT&amp;CK for ICS; utility-specific threat scenarios (ransomware on EMS, supply-chain compromise, remote-access abuse, insider, nation-state pre-positioning); risk register with likelihood × impact on safety/reliability/compliance; prioritised treatment plan.</t>
  </si>
  <si>
    <t>Proposal §3.3</t>
  </si>
  <si>
    <t>1.4</t>
  </si>
  <si>
    <t>Benchmark against international standards &amp; good practice</t>
  </si>
  <si>
    <t>Gap analysis vs IEC 62443 (zones/conduits, SL-T vs SL-A), NIST CSF 2.0, ISO/IEC 27001/27019, with NERC CIP used as reference model for CIP obligations.</t>
  </si>
  <si>
    <t>Proposal §3.4</t>
  </si>
  <si>
    <t>2</t>
  </si>
  <si>
    <t>SCOPE — AUDIT FRAMEWORK DEVELOPMENT</t>
  </si>
  <si>
    <t>2.1</t>
  </si>
  <si>
    <t>Develop a Cybersecurity Audit Framework specific to grid operations, SCADA and critical infrastructure protection</t>
  </si>
  <si>
    <t>Tailored PUCSL audit framework: audit universe &amp; scoping model; control catalogue mapped to C2M2/IEC 62443/NIST CSF; audit procedures &amp; evidence requirements per control; maturity-based scoring &amp; reporting templates; audit frequency &amp; regulatory escalation model; auditor competency requirements.</t>
  </si>
  <si>
    <t>Proposal §4</t>
  </si>
  <si>
    <t>2.2</t>
  </si>
  <si>
    <t>Regulatory guidance &amp; local SOPs</t>
  </si>
  <si>
    <t>SOPs and regulatory guidance notes localised for Sri Lankan utilities co-developed with EML; alignment with existing PUCSL regulatory instruments and pending national cyber legislation gaps.</t>
  </si>
  <si>
    <t>Proposal §4.3</t>
  </si>
  <si>
    <t>3</t>
  </si>
  <si>
    <t>SCOPE — CAPACITY BUILDING</t>
  </si>
  <si>
    <t>3.1</t>
  </si>
  <si>
    <t>Institutional capacity building &amp; workshops</t>
  </si>
  <si>
    <t>4 workshops: Kick-off; Technical Findings &amp; Governance Framework; Knowledge Transfer; Executive Presentation &amp; Final. Training materials provided; local delivery logistics by EML.</t>
  </si>
  <si>
    <t>EML lead, Abatis content</t>
  </si>
  <si>
    <t>Work Plan; Financial Summary section D</t>
  </si>
  <si>
    <t>3.2</t>
  </si>
  <si>
    <t>Knowledge transfer to PUCSL / utility staff</t>
  </si>
  <si>
    <t>Auditor enablement: train PUCSL team on operating the audit framework, C2M2 re-assessment, and continuous monitoring; handover pack incl. templates and scoring tools.</t>
  </si>
  <si>
    <t>Proposal §5</t>
  </si>
  <si>
    <t>4</t>
  </si>
  <si>
    <t>DELIVERABLES</t>
  </si>
  <si>
    <t>4.1</t>
  </si>
  <si>
    <t>Inception Report</t>
  </si>
  <si>
    <t>Mobilisation, confirmed methodology, stakeholder map, data request register, detailed schedule — end Phase 1.</t>
  </si>
  <si>
    <t>Work Plan</t>
  </si>
  <si>
    <t>4.2</t>
  </si>
  <si>
    <t>Cybersecurity Readiness Assessment Report</t>
  </si>
  <si>
    <t>Current-state assessment, C2M2 maturity scores per domain, threat &amp; risk assessment, prioritised remediation roadmap.</t>
  </si>
  <si>
    <t>4.3</t>
  </si>
  <si>
    <t>Cybersecurity Audit Framework (for PUCSL adoption)</t>
  </si>
  <si>
    <t>Framework document + control catalogue + audit procedures + reporting templates + implementation guidance.</t>
  </si>
  <si>
    <t>4.4</t>
  </si>
  <si>
    <t>Training &amp; capacity building materials; workshop reports</t>
  </si>
  <si>
    <t>Materials for all 4 workshops; attendance &amp; outcome reports.</t>
  </si>
  <si>
    <t>4.5</t>
  </si>
  <si>
    <t>Final Report &amp; Executive Presentation</t>
  </si>
  <si>
    <t>Consolidated findings, roadmap, audit framework adoption plan; executive briefing to PUCSL leadership.</t>
  </si>
  <si>
    <t>5</t>
  </si>
  <si>
    <t>COMMENTS ON TOR (TECH-3)</t>
  </si>
  <si>
    <t>5.1</t>
  </si>
  <si>
    <t>Secure document exchange</t>
  </si>
  <si>
    <t>Recommend a secured artefact-collection portal for assessment evidence (no such portal currently exists at PUCSL/EML); Abatis to provide secure exchange arrangement for the engagement.</t>
  </si>
  <si>
    <t>Proposal §6</t>
  </si>
  <si>
    <t>5.2</t>
  </si>
  <si>
    <t>Scope clarity on facilities count</t>
  </si>
  <si>
    <t>Request confirmation of number of generation facilities/substations in scope to firm up site-visit programme (budget assumes 2 international missions, 20 site-days).</t>
  </si>
  <si>
    <t>Outstanding Items</t>
  </si>
  <si>
    <t>5.3</t>
  </si>
  <si>
    <t>Academic credential emphasis</t>
  </si>
  <si>
    <t>TOR appears to weight academic qualifications heavily. JV approach: EML fields degree-qualified engineering staff; Abatis fields senior practitioners with professional certifications (MCIIS, IISP) plus academically credentialed specialists where required.</t>
  </si>
  <si>
    <t>Key Personnel</t>
  </si>
  <si>
    <t>5.4</t>
  </si>
  <si>
    <t>Legislative context</t>
  </si>
  <si>
    <t>National cyber legislation is nascent/outdated; framework will be designed to operate under current law while being forward-compatible with anticipated CNI legislation — and JV can support subsequent legislative drafting as follow-on advisory.</t>
  </si>
  <si>
    <t>Proposal §7</t>
  </si>
  <si>
    <t>Phase</t>
  </si>
  <si>
    <t>Activities</t>
  </si>
  <si>
    <t>Method / Standards</t>
  </si>
  <si>
    <t>Outputs</t>
  </si>
  <si>
    <t>Indicative Timing</t>
  </si>
  <si>
    <t>Phase 0 — Mobilisation &amp; Inception</t>
  </si>
  <si>
    <t>Kick-off workshop; confirm scope, stakeholder map, data request register; NDAs &amp; secure exchange; logistics</t>
  </si>
  <si>
    <t>PMI-aligned PMO by EML DPM; Abatis Team Leader directs technical scope</t>
  </si>
  <si>
    <t>Inception Report; Kick-off Workshop</t>
  </si>
  <si>
    <t>Weeks 1–2</t>
  </si>
  <si>
    <t>Phase 1 — Information Gathering</t>
  </si>
  <si>
    <t>Collect policies, procedures, network/SCADA architecture, asset registers, incident history; desk review; gap log</t>
  </si>
  <si>
    <t>Doc review against C2M2/IEC 62443/NIST CSF control expectations</t>
  </si>
  <si>
    <t>Document review register; preliminary gap log</t>
  </si>
  <si>
    <t>Weeks 2–4</t>
  </si>
  <si>
    <t>Phase 2 — Interviews &amp; Site Assessment</t>
  </si>
  <si>
    <t>Structured interviews across roles &amp; seniority levels (operators to executives); site visits to control centres, substations, generation plants; control validation</t>
  </si>
  <si>
    <t>Interview protocol testing whether processes are understood and actually followed; field validation by EML SCADA/electrical engineers with Abatis OT specialists</t>
  </si>
  <si>
    <t>Interview records; site assessment notes; validated control evidence</t>
  </si>
  <si>
    <t>Weeks 4–8</t>
  </si>
  <si>
    <t>Phase 3 — Maturity &amp; Risk Analysis</t>
  </si>
  <si>
    <t>C2M2 scoring (10 domains, MIL0–3); threat modelling (MITRE ATT&amp;CK for ICS); vulnerability &amp; risk assessment; benchmark vs IEC 62443 / NIST CSF / ISO 27019</t>
  </si>
  <si>
    <t>Evidence-based scoring, moderated scoring workshop; risk register with treatment options</t>
  </si>
  <si>
    <t>Readiness Assessment Report (draft); C2M2 maturity profile; risk register &amp; roadmap</t>
  </si>
  <si>
    <t>Weeks 8–11</t>
  </si>
  <si>
    <t>Phase 4 — Audit Framework Development</t>
  </si>
  <si>
    <t>Design PUCSL-specific audit framework: audit universe, control catalogue, procedures, scoring &amp; reporting templates, audit cycle, auditor competencies; localise SOPs &amp; regulatory guidance</t>
  </si>
  <si>
    <t>Mapped to C2M2 / IEC 62443 / NIST CSF; consistent with PUCSL regulatory mandate</t>
  </si>
  <si>
    <t>Cybersecurity Audit Framework (draft); SOPs; regulatory guidance notes</t>
  </si>
  <si>
    <t>Weeks 10–13</t>
  </si>
  <si>
    <t>Phase 5 — Validation &amp; Capacity Building</t>
  </si>
  <si>
    <t>Technical Findings &amp; Governance Framework workshop; incorporate feedback; Knowledge Transfer workshop (auditor enablement); finalise deliverables</t>
  </si>
  <si>
    <t>Workshop-driven validation; train-the-trainer materials</t>
  </si>
  <si>
    <t>Final Readiness Report; Final Audit Framework; training materials &amp; workshop reports</t>
  </si>
  <si>
    <t>Weeks 13–15</t>
  </si>
  <si>
    <t>Phase 6 — Close-out</t>
  </si>
  <si>
    <t>Executive Presentation &amp; Final Workshop; final report acceptance; handover pack; follow-on roadmap discussion</t>
  </si>
  <si>
    <t>Executive briefing to PUCSL leadership</t>
  </si>
  <si>
    <t>Final Report; Executive Presentation; handover pack</t>
  </si>
  <si>
    <t>Week 16</t>
  </si>
  <si>
    <t>Activity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</si>
  <si>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</si>
  <si>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</si>
  <si>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</si>
  <si>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</si>
  <si>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</si>
  <si>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</si>
  <si>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</si>
  <si>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</si>
  <si>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</si>
  <si>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</si>
  <si>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</si>
  <si>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</si>
  <si>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</si>
  <si>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W14</t>
  </si>
  <si>
    <t>W15</t>
  </si>
  <si>
    <t>W16</t>
  </si>
  <si>
    <t>Mobilisation &amp; Inception</t>
  </si>
  <si>
    <t>█</t>
  </si>
  <si>
    <t>Kick-off Workshop</t>
  </si>
  <si>
    <t>Information Gathering</t>
  </si>
  <si>
    <t>Interviews (multi-level)</t>
  </si>
  <si>
    <t>Site Visits &amp; Field Assessment</t>
  </si>
  <si>
    <t>C2M2 Maturity Scoring</t>
  </si>
  <si>
    <t>Threat &amp; Risk Assessment</t>
  </si>
  <si>
    <t>Standards Benchmark (IEC 62443/NIST)</t>
  </si>
  <si>
    <t>Draft Readiness Assessment Report</t>
  </si>
  <si>
    <t>Audit Framework Development</t>
  </si>
  <si>
    <t>SOPs &amp; Regulatory Guidance (EML+Abatis)</t>
  </si>
  <si>
    <t>Technical Findings Workshop</t>
  </si>
  <si>
    <t>Knowledge Transfer Workshop</t>
  </si>
  <si>
    <t>Finalise Deliverables</t>
  </si>
  <si>
    <t>Executive Presentation &amp; Final Workshop</t>
  </si>
  <si>
    <t>Role</t>
  </si>
  <si>
    <t>Party</t>
  </si>
  <si>
    <t>Unit</t>
  </si>
  <si>
    <t>Rate (USD)</t>
  </si>
  <si>
    <t>Qty</t>
  </si>
  <si>
    <t>Amount (USD)</t>
  </si>
  <si>
    <t>Team Leader</t>
  </si>
  <si>
    <t>Man-Day</t>
  </si>
  <si>
    <t>Senior OT/ICS Cybersecurity Specialist</t>
  </si>
  <si>
    <t>Cybersecurity Governance Specialist</t>
  </si>
  <si>
    <t>IEC 62443 / C2M2 Specialist</t>
  </si>
  <si>
    <t>Training &amp; Capacity Building Specialist</t>
  </si>
  <si>
    <t>Technical Proposal Development</t>
  </si>
  <si>
    <t>Lump Sum</t>
  </si>
  <si>
    <t>Power Systems / SCADA Engineer (DPM)</t>
  </si>
  <si>
    <t>Local Electrical Engineer</t>
  </si>
  <si>
    <t>Stakeholder Engagement Specialist</t>
  </si>
  <si>
    <t>QA/QC Manager</t>
  </si>
  <si>
    <t>Technical Report Coordinator</t>
  </si>
  <si>
    <t>Project Administrator</t>
  </si>
  <si>
    <t>Proposal Management &amp; Coordination</t>
  </si>
  <si>
    <t>Subtotal — Abatis (200 man-days + lump sums)</t>
  </si>
  <si>
    <t>Subtotal — EML (220 man-days + lump sums)</t>
  </si>
  <si>
    <t>Section</t>
  </si>
  <si>
    <t>Item</t>
  </si>
  <si>
    <t>Professional Services — Abatis</t>
  </si>
  <si>
    <t>Local Professional Services — EML</t>
  </si>
  <si>
    <t>Workshops &amp; Capacity Building (4 workshops + materials)</t>
  </si>
  <si>
    <t>Travel &amp; Logistics (2 intl trips, 20 hotel nights, per diem, local transport, site logistics)</t>
  </si>
  <si>
    <t>F</t>
  </si>
  <si>
    <t>Administrative &amp; Reimbursable Expenses</t>
  </si>
  <si>
    <t>G</t>
  </si>
  <si>
    <t>Technical Contingency &amp; Corporate Overheads</t>
  </si>
  <si>
    <t>Base Cost</t>
  </si>
  <si>
    <t>Profit @ 30% of base cost</t>
  </si>
  <si>
    <t>Total (excl. taxes)</t>
  </si>
  <si>
    <t>VAT @ 18% — confirm applicability (would add USD 62,577.45; currently excluded from grand total)</t>
  </si>
  <si>
    <t>SSCL @ 2.5% (formula corrected — was calculated at 2.0%)</t>
  </si>
  <si>
    <t>GRAND TOTAL (USD, incl. VAT + SSCL)</t>
  </si>
  <si>
    <t>Notes</t>
  </si>
  <si>
    <t>1. All pricing in USD (Platinum prices in USD; EML reprices local components into LKR — RFP ITC 3.8, p. ITC-6). Evaluation converts foreign currency to LKR at selling exchange rate (ITC 5.6).</t>
  </si>
  <si>
    <t>2. Original internal sizing was ~USD 350k; EML flagged price sensitivity — current pricing reflects competitive positioning with 80/20 technical/price evaluation.</t>
  </si>
  <si>
    <t>3. Confirm with EML: whether financial proposal must be in USD or LKR; tax treatment of the foreign JV partner (VAT/SSCL applicability to offshore services).</t>
  </si>
  <si>
    <t>4. Value split now ≈ 82% Abatis / 18% EML of professional fees — DIVERGES from the ~70/30 basis agreed with EML (27–28 Jul emails). Confirm with Jeewaka before FIN forms are shared.</t>
  </si>
  <si>
    <t>Role in Assignment</t>
  </si>
  <si>
    <t>Nominee</t>
  </si>
  <si>
    <t>Credentials / Experience highlights</t>
  </si>
  <si>
    <t>CV Status</t>
  </si>
  <si>
    <t>Glyn Richards</t>
  </si>
  <si>
    <t>Career predates DOS; ex-Heathrow Airport — instituted cyber assurance for every initiated project; author of a cyber maturity model still in use 10+ years later; Full Member IISP; leads risk assessment, threat analysis, CMMI/maturity scoring and recommendations</t>
  </si>
  <si>
    <t>CV NEEDED</t>
  </si>
  <si>
    <t>(Abatis senior OT/ICS practitioner — confirm nominee)</t>
  </si>
  <si>
    <t>OT/ICS/SCADA security assessment; Gulf smart-city &amp; CNI OT programmes (e.g. Jeddah Central OT cybersecurity, Riyadh Metro OT)</t>
  </si>
  <si>
    <t>Debbie Richards</t>
  </si>
  <si>
    <t>Full Member IISP; governance, policy &amp; compliance frameworks</t>
  </si>
  <si>
    <t>(Abatis — confirm nominee; option: William — 1st class Mathematics (Cambridge), MA Cyber Security (Royal Holloway))</t>
  </si>
  <si>
    <t>Standards mapping; C2M2 scoring; academically credentialed if TOR requires</t>
  </si>
  <si>
    <t>(Abatis/EML joint — confirm)</t>
  </si>
  <si>
    <t>Knowledge transfer, auditor enablement; option: Alex Shipp (academically qualified)</t>
  </si>
  <si>
    <t>Deputy Project Manager / Power Systems &amp; SCADA Engineer</t>
  </si>
  <si>
    <t>EML selected candidate (confirmed available per CEO, 27 Jul)</t>
  </si>
  <si>
    <t>Power systems &amp; SCADA engineering; local utility experience; degree-qualified</t>
  </si>
  <si>
    <t>EML to provide</t>
  </si>
  <si>
    <t>EML nominee</t>
  </si>
  <si>
    <t>Electrical engineering; site assessment support</t>
  </si>
  <si>
    <t>PUCSL/utility stakeholder coordination; workshops</t>
  </si>
  <si>
    <t>Quality management under ISO 9001:2015-certified system</t>
  </si>
  <si>
    <t>Oversight — CTO</t>
  </si>
  <si>
    <t>Christian Rogan</t>
  </si>
  <si>
    <t>Abatis CTO; EU cyber-sovereignty &amp; legislative expertise</t>
  </si>
  <si>
    <t>Optional</t>
  </si>
  <si>
    <t>Oversight — CCO / Commercial</t>
  </si>
  <si>
    <t>Chris Barter</t>
  </si>
  <si>
    <t>Full Member, Chartered Institute of Information Security (MCIIS); commercial lead</t>
  </si>
  <si>
    <t>#</t>
  </si>
  <si>
    <t>Question (typical tender/qualification)</t>
  </si>
  <si>
    <t>Answer</t>
  </si>
  <si>
    <t>Who is the bidding entity?</t>
  </si>
  <si>
    <t>Joint Venture of Platinum High Integrity Technologies Limited (Malta) — Lead JV Partner — and EML Consultants PLC (Sri Lanka) — Local JV Partner. Abatis Security Innovations &amp; Technologies GmbH (Switzerland) provides the specialist cybersecurity capability within the Platinum group.</t>
  </si>
  <si>
    <t>Why is Platinum Malta the lead?</t>
  </si>
  <si>
    <t>It owns responsibility for the Abatis product, software, IP and international commercial delivery; the lead partner carries the principal technical scope and ~70% commercial allocation (agreed with EML 27–28 Jul 2026). EU-domiciled entity.</t>
  </si>
  <si>
    <t>Local partner legal status?</t>
  </si>
  <si>
    <t>EML Consultants PLC, Reg. No. PQ 00240481; incorporated 1993 (originally with Ernst &amp; Young and DHV Netherlands); fully Sri Lankan-owned since 2003; listed on the Colombo Stock Exchange since 2021/22 — the only consultancy company listed on the CSE.</t>
  </si>
  <si>
    <t>Local partner quality systems?</t>
  </si>
  <si>
    <t>ISO 9001:2015 (Cert. GISL-0009-QC) and ISO 14001:2015 (Cert. GISL-0009-EC), valid to Feb 2028 (surveillance to Feb 2026 window shown on certificate); 600+ consultancy projects delivered; auditor Lakshman Rupasinghe &amp; Co.</t>
  </si>
  <si>
    <t>Technical partner track record?</t>
  </si>
  <si>
    <t>Abatis: Swiss company incorporated Oct 2004; first client was the Swiss government — technology designed at the request of the Swiss government and implemented by the Swiss military for CNI protection. In 20+ years: zero reported breaches against the code and zero publicly registered security vulnerabilities — both believed unique in the industry.</t>
  </si>
  <si>
    <t>What differentiates the technical approach?</t>
  </si>
  <si>
    <t>Deterministic, rule-enforcing protection that stops attacks in nanoseconds (vs industry mean time to identify/contain of ~270 days, avg cost USD 4.5M per IBM); consultancy &amp; advisory practice of comparable scale to licensing; extensive CNI, smart-city (Gulf), energy and government experience.</t>
  </si>
  <si>
    <t>JV experience with international firms?</t>
  </si>
  <si>
    <t>EML: JV with Niras (Netherlands) on Sri Lanka port projects (minor JV partner); multiple collaborations with international firms across 600+ projects. Abatis/Platinum: consortium work across Gulf smart-city programmes, Nigeria (NNPC pilot), Qatar Energy, Latin America deployments.</t>
  </si>
  <si>
    <t>Relevant sector experience — energy/utilities?</t>
  </si>
  <si>
    <t>Abatis: OT/ICS security for critical generation and grid-connected infrastructure clients incl. Gulf smart-city utility systems and energy majors (Qatar Energy engagement in progress); EML: power-sector adjacent engineering (electrical, SCADA engineering resources) plus national-level infrastructure consultancy.</t>
  </si>
  <si>
    <t>Methodology summary?</t>
  </si>
  <si>
    <t>Information gathering → multi-level structured interviews (verifying processes are actually understood and followed, not just documented) → site/field validation → C2M2 maturity scoring across 10 domains → threat/risk assessment (MITRE ATT&amp;CK for ICS) → standards benchmark (IEC 62443, NIST CSF, ISO 27019) → PUCSL-specific audit framework → workshops &amp; knowledge transfer.</t>
  </si>
  <si>
    <t>Can you meet the deadline?</t>
  </si>
  <si>
    <t>Yes — confirmed to EML in writing (27 Jul 2026): resources re-prioritised; proposal preparation under way; WhatsApp coordination group established; EML purchasing official tender pack.</t>
  </si>
  <si>
    <t>Quality assurance for this assignment?</t>
  </si>
  <si>
    <t>Dual QA: Abatis technical peer review of all specialist deliverables; EML QA/QC Manager operating under ISO 9001:2015-certified procedures; neither party amends the other's contribution without agreement.</t>
  </si>
  <si>
    <t>Data protection / security of client information?</t>
  </si>
  <si>
    <t>Secure artefact-collection portal provided by Abatis for evidence exchange; all assessment data handled under strict confidentiality; deliverables and evidence remain in-country where required by PUCSL; forward-compatible with emerging Sri Lankan data/cyber legislation.</t>
  </si>
  <si>
    <t>Needed From</t>
  </si>
  <si>
    <t>Why / Blocking</t>
  </si>
  <si>
    <t>Official tender document pack (purchased from PUCSL)</t>
  </si>
  <si>
    <t>EML / Jeewaka</t>
  </si>
  <si>
    <t>RESOLVED 29 Jul — official RFP received; full gap analysis issued (PUCSL_RFP_Gap_Analysis docs, refs to RFP pages)</t>
  </si>
  <si>
    <t>Confirmation whether additional forms exist (compliance spreadsheet / Excel annexes)</t>
  </si>
  <si>
    <t>Glyn's question from 27 Jul call: 'is there any other documentation other than the RFP that needs to be completed, e.g. in Excel?'</t>
  </si>
  <si>
    <t>Exact submission deadline time, place &amp; number of copies (hard/soft)</t>
  </si>
  <si>
    <t>RESOLVED — 30 Jul 2026, 2:00 pm SLST, PUCSL 6th Fl, BOC Merchant Tower, No. 28 St. Michael's Rd, Colombo 3. Original + 2 copies of both proposals + USB (Technical only); envelope markings per ITC 4.4 (pp. DATA-2–3)</t>
  </si>
  <si>
    <t>Bid security requirement (amount, form, validity)</t>
  </si>
  <si>
    <t>EML / tender doc</t>
  </si>
  <si>
    <t>RESOLVED — NO bid security required (nothing in Data Sheet); SC-6 advance-payment guarantee applies post-award only</t>
  </si>
  <si>
    <t>Signed JV Letter of Intent (Platinum Malta lead)</t>
  </si>
  <si>
    <t>EML drafting; must reflect Platinum High Integrity Technologies Limited (Malta) as Lead JV Partner per 28 Jul email</t>
  </si>
  <si>
    <t>Abatis/Platinum corporate documents (incorporation certificates, profile, financials?)</t>
  </si>
  <si>
    <t>Alexander / Platinum</t>
  </si>
  <si>
    <t>To mirror EML statutory set; confirm whether both JV partners' financials required</t>
  </si>
  <si>
    <t>CVs — Abatis key experts (signed, tender format)</t>
  </si>
  <si>
    <t>Glyn / Debbie / Alexander</t>
  </si>
  <si>
    <t>TECH-6 equivalent; academic-credential question resolved by fielding Alex Shipp / William if needed</t>
  </si>
  <si>
    <t>CVs — EML experts incl. selected SCADA/Power Systems engineer</t>
  </si>
  <si>
    <t>EML confirmed candidate exists; CV not yet received</t>
  </si>
  <si>
    <t>Number of generation facilities &amp; substations in scope</t>
  </si>
  <si>
    <t>Determines site-visit programme; budget assumes 2 intl missions / 20 site-days</t>
  </si>
  <si>
    <t>Currency &amp; tax treatment of financial proposal (USD vs LKR; VAT/SSCL on offshore services)</t>
  </si>
  <si>
    <t>Financial forms cannot be finalised without this</t>
  </si>
  <si>
    <t>PUCSL existing regulatory instruments &amp; any current cyber provisions</t>
  </si>
  <si>
    <t>Input to audit framework localisation (Christian's request for local CNI law status)</t>
  </si>
  <si>
    <t>Reference letters / completion certificates for cited projects (if required)</t>
  </si>
  <si>
    <t>Typical technical scoring evidence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</si>
</sst>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name val="Calibri"/>
    </font>
    <font>
      <b/>
      <sz val="10"/>
      <color rgb="FFFFFFFF"/>
      <name val="Calibri"/>
    </font>
    <font>
      <b/>
      <sz val="12"/>
      <name val="Calibri"/>
    </font>
    <font>
      <b/>
      <sz val="1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5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2" fillId="0" borderId="0" xfId="0" applyFont="1"/>
    <xf numFmtId="0" fontId="3" fillId="3" borderId="1" xfId="0" applyFont="1" applyFill="1" applyBorder="1" applyAlignment="1">
      <alignment vertical="top" wrapText="1"/>
    </xf>
    <xf numFmtId="4" fontId="0" fillId="0" borderId="0" xfId="0" applyNumberFormat="1" applyAlignment="1">
      <alignment vertical="top"/>
    </xf>
    <xf numFmtId="4" fontId="3" fillId="3" borderId="1" xfId="0" applyNumberFormat="1" applyFont="1" applyFill="1" applyBorder="1" applyAlignment="1">
      <alignment vertical="top"/>
    </xf>
    <xf numFmtId="0" fontId="3" fillId="0" borderId="0" xfId="0" applyFont="1" applyAlignmen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Relationship Id="rIdT7" Type="http://schemas.openxmlformats.org/officeDocument/2006/relationships/worksheet" Target="worksheets/sheet11.xml"/><Relationship Id="rIdT8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1"/>
  <sheetViews>
    <sheetView workbookViewId="0"/>
  </sheetViews>
  <sheetFormatPr defaultRowHeight="15" x14ac:dyDescent="0.2"/>
  <cols>
    <col min="1" max="1" width="28" customWidth="1"/>
    <col min="2" max="2" width="120" customWidth="1"/>
  </cols>
  <sheetData>
    <row r="1" spans="1:2" ht="15.75" x14ac:dyDescent="0.25">
      <c r="A1" s="2" t="s">
        <v>0</v>
      </c>
    </row>
    <row r="2" spans="1:2" ht="12.75" x14ac:dyDescent="0.2"/>
    <row r="3" spans="1:2" ht="12.75" x14ac:dyDescent="0.2">
      <c r="A3" s="6" t="s">
        <v>1</v>
      </c>
      <c r="B3" t="s">
        <v>2</v>
      </c>
    </row>
    <row r="4" spans="1:2" ht="12.75" x14ac:dyDescent="0.2">
      <c r="A4" s="6" t="s">
        <v>3</v>
      </c>
      <c r="B4" t="s">
        <v>4</v>
      </c>
    </row>
    <row r="5" spans="1:2" ht="12.75" x14ac:dyDescent="0.2">
      <c r="A5" s="6" t="s">
        <v>5</v>
      </c>
      <c r="B5" t="s">
        <v>6</v>
      </c>
    </row>
    <row r="6" spans="1:2" ht="12.75" x14ac:dyDescent="0.2">
      <c r="A6" s="6" t="s">
        <v>7</v>
      </c>
      <c r="B6" t="s">
        <v>8</v>
      </c>
    </row>
    <row r="7" spans="1:2" ht="12.75" x14ac:dyDescent="0.2">
      <c r="A7" s="6" t="s">
        <v>9</v>
      </c>
      <c r="B7" t="s">
        <v>10</v>
      </c>
    </row>
    <row r="8" spans="1:2" ht="12.75" x14ac:dyDescent="0.2">
      <c r="A8" s="6" t="s">
        <v>11</v>
      </c>
      <c r="B8" t="s">
        <v>12</v>
      </c>
    </row>
    <row r="9" spans="1:2" ht="12.75" x14ac:dyDescent="0.2">
      <c r="A9" s="6" t="s">
        <v>13</v>
      </c>
      <c r="B9" t="s">
        <v>14</v>
      </c>
    </row>
    <row r="10" spans="1:2" ht="12.75" x14ac:dyDescent="0.2">
      <c r="A10" s="6" t="s">
        <v>15</v>
      </c>
      <c r="B10" t="s">
        <v>16</v>
      </c>
    </row>
    <row r="11" spans="1:2" ht="12.75" x14ac:dyDescent="0.2">
      <c r="A11" s="6" t="s">
        <v>17</v>
      </c>
      <c r="B11" t="s">
        <v>18</v>
      </c>
    </row>
    <row r="12" spans="1:2" ht="12.75" x14ac:dyDescent="0.2">
      <c r="A12" s="6" t="s">
        <v>19</v>
      </c>
      <c r="B12" t="s">
        <v>20</v>
      </c>
    </row>
    <row r="13" spans="1:2" ht="12.75" x14ac:dyDescent="0.2"/>
    <row r="14" spans="1:2" ht="12.75" x14ac:dyDescent="0.2">
      <c r="A14" s="6" t="s">
        <v>21</v>
      </c>
    </row>
    <row r="15" spans="1:2" ht="12.75" x14ac:dyDescent="0.2">
      <c r="A15" t="s">
        <v>22</v>
      </c>
    </row>
    <row r="16" spans="1:2" ht="12.75" x14ac:dyDescent="0.2">
      <c r="A16" t="s">
        <v>23</v>
      </c>
    </row>
    <row r="17" spans="1:1" ht="12.75" x14ac:dyDescent="0.2">
      <c r="A17" t="s">
        <v>24</v>
      </c>
    </row>
    <row r="18" spans="1:1" ht="12.75" x14ac:dyDescent="0.2">
      <c r="A18" t="s">
        <v>25</v>
      </c>
    </row>
    <row r="19" spans="1:1" ht="12.75" x14ac:dyDescent="0.2">
      <c r="A19" t="s">
        <v>26</v>
      </c>
    </row>
    <row r="20" spans="1:1" ht="12.75" x14ac:dyDescent="0.2">
      <c r="A20" t="s">
        <v>27</v>
      </c>
    </row>
    <row r="21" spans="1:1" ht="12.75" x14ac:dyDescent="0.2">
      <c r="A21" t="s">
        <v>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9"/>
  <sheetViews>
    <sheetView workbookViewId="0"/>
  </sheetViews>
  <sheetFormatPr defaultRowHeight="15" x14ac:dyDescent="0.2"/>
  <cols>
    <col min="1" max="1" width="6" customWidth="1"/>
    <col min="2" max="2" width="52" customWidth="1"/>
    <col min="3" max="3" width="16" customWidth="1"/>
    <col min="4" max="4" width="18" customWidth="1"/>
    <col min="5" max="5" width="80" customWidth="1"/>
  </cols>
  <sheetData>
    <row r="1" spans="1:5" ht="12.75" x14ac:dyDescent="0.2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</row>
    <row r="2" spans="1:5" ht="12.75" x14ac:dyDescent="0.2">
      <c r="A2" s="3" t="s">
        <v>34</v>
      </c>
      <c r="B2" s="3" t="s">
        <v>35</v>
      </c>
      <c r="C2" s="3"/>
      <c r="D2" s="3"/>
      <c r="E2" s="3"/>
    </row>
    <row r="3" spans="1:5" ht="12.75" x14ac:dyDescent="0.2">
      <c r="A3">
        <v>1</v>
      </c>
      <c r="B3" t="s">
        <v>36</v>
      </c>
      <c r="C3" t="s">
        <v>37</v>
      </c>
      <c r="D3" t="s">
        <v>38</v>
      </c>
      <c r="E3" t="s">
        <v>39</v>
      </c>
    </row>
    <row r="4" spans="1:5" ht="12.75" x14ac:dyDescent="0.2">
      <c r="A4">
        <v>2</v>
      </c>
      <c r="B4" t="s">
        <v>40</v>
      </c>
      <c r="C4" t="s">
        <v>41</v>
      </c>
      <c r="D4" t="s">
        <v>42</v>
      </c>
      <c r="E4" t="s">
        <v>43</v>
      </c>
    </row>
    <row r="5" spans="1:5" ht="12.75" x14ac:dyDescent="0.2">
      <c r="A5">
        <v>3</v>
      </c>
      <c r="B5" t="s">
        <v>44</v>
      </c>
      <c r="C5" t="s">
        <v>45</v>
      </c>
      <c r="D5" t="s">
        <v>46</v>
      </c>
      <c r="E5" t="s">
        <v>47</v>
      </c>
    </row>
    <row r="6" spans="1:5" ht="12.75" x14ac:dyDescent="0.2">
      <c r="A6">
        <v>4</v>
      </c>
      <c r="B6" t="s">
        <v>48</v>
      </c>
      <c r="C6" t="s">
        <v>45</v>
      </c>
      <c r="D6" t="s">
        <v>46</v>
      </c>
      <c r="E6" t="s">
        <v>49</v>
      </c>
    </row>
    <row r="7" spans="1:5" ht="12.75" x14ac:dyDescent="0.2">
      <c r="A7">
        <v>5</v>
      </c>
      <c r="B7" t="s">
        <v>50</v>
      </c>
      <c r="C7" t="s">
        <v>41</v>
      </c>
      <c r="D7" t="s">
        <v>46</v>
      </c>
      <c r="E7" t="s">
        <v>51</v>
      </c>
    </row>
    <row r="8" spans="1:5" ht="12.75" x14ac:dyDescent="0.2">
      <c r="A8">
        <v>6</v>
      </c>
      <c r="B8" t="s">
        <v>52</v>
      </c>
      <c r="C8" t="s">
        <v>41</v>
      </c>
      <c r="D8" t="s">
        <v>53</v>
      </c>
      <c r="E8" t="s">
        <v>54</v>
      </c>
    </row>
    <row r="9" spans="1:5" ht="12.75" x14ac:dyDescent="0.2">
      <c r="A9">
        <v>7</v>
      </c>
      <c r="B9" t="s">
        <v>55</v>
      </c>
      <c r="C9" t="s">
        <v>45</v>
      </c>
      <c r="D9" t="s">
        <v>46</v>
      </c>
      <c r="E9" t="s">
        <v>56</v>
      </c>
    </row>
    <row r="10" spans="1:5" ht="12.75" x14ac:dyDescent="0.2">
      <c r="A10" s="3" t="s">
        <v>57</v>
      </c>
      <c r="B10" s="3" t="s">
        <v>58</v>
      </c>
      <c r="C10" s="3"/>
      <c r="D10" s="3"/>
      <c r="E10" s="3"/>
    </row>
    <row r="11" spans="1:5" ht="12.75" x14ac:dyDescent="0.2">
      <c r="A11">
        <v>8</v>
      </c>
      <c r="B11" t="s">
        <v>59</v>
      </c>
      <c r="C11" t="s">
        <v>60</v>
      </c>
      <c r="D11" t="s">
        <v>53</v>
      </c>
      <c r="E11" t="s">
        <v>61</v>
      </c>
    </row>
    <row r="12" spans="1:5" ht="12.75" x14ac:dyDescent="0.2">
      <c r="A12">
        <v>9</v>
      </c>
      <c r="B12" t="s">
        <v>62</v>
      </c>
      <c r="C12" t="s">
        <v>63</v>
      </c>
      <c r="D12" t="s">
        <v>64</v>
      </c>
      <c r="E12" t="s">
        <v>65</v>
      </c>
    </row>
    <row r="13" spans="1:5" ht="12.75" x14ac:dyDescent="0.2">
      <c r="A13">
        <v>10</v>
      </c>
      <c r="B13" t="s">
        <v>66</v>
      </c>
      <c r="C13" t="s">
        <v>63</v>
      </c>
      <c r="D13" t="s">
        <v>64</v>
      </c>
      <c r="E13" t="s">
        <v>67</v>
      </c>
    </row>
    <row r="14" spans="1:5" ht="12.75" x14ac:dyDescent="0.2">
      <c r="A14">
        <v>11</v>
      </c>
      <c r="B14" t="s">
        <v>68</v>
      </c>
      <c r="C14" t="s">
        <v>60</v>
      </c>
      <c r="D14" t="s">
        <v>64</v>
      </c>
      <c r="E14" t="s">
        <v>69</v>
      </c>
    </row>
    <row r="15" spans="1:5" ht="12.75" x14ac:dyDescent="0.2">
      <c r="A15" s="3" t="s">
        <v>70</v>
      </c>
      <c r="B15" s="3" t="s">
        <v>71</v>
      </c>
      <c r="C15" s="3"/>
      <c r="D15" s="3"/>
      <c r="E15" s="3"/>
    </row>
    <row r="16" spans="1:5" ht="12.75" x14ac:dyDescent="0.2">
      <c r="A16">
        <v>12</v>
      </c>
      <c r="B16" t="s">
        <v>72</v>
      </c>
      <c r="C16" t="s">
        <v>37</v>
      </c>
      <c r="D16" t="s">
        <v>42</v>
      </c>
      <c r="E16" t="s">
        <v>73</v>
      </c>
    </row>
    <row r="17" spans="1:5" ht="12.75" x14ac:dyDescent="0.2">
      <c r="A17">
        <v>13</v>
      </c>
      <c r="B17" t="s">
        <v>74</v>
      </c>
      <c r="C17" t="s">
        <v>41</v>
      </c>
      <c r="D17" t="s">
        <v>53</v>
      </c>
      <c r="E17" t="s">
        <v>75</v>
      </c>
    </row>
    <row r="18" spans="1:5" ht="12.75" x14ac:dyDescent="0.2">
      <c r="A18">
        <v>14</v>
      </c>
      <c r="B18" t="s">
        <v>76</v>
      </c>
      <c r="C18" t="s">
        <v>60</v>
      </c>
      <c r="D18" t="s">
        <v>77</v>
      </c>
      <c r="E18" t="s">
        <v>78</v>
      </c>
    </row>
    <row r="19" spans="1:5" ht="12.75" x14ac:dyDescent="0.2">
      <c r="A19" s="3" t="s">
        <v>79</v>
      </c>
      <c r="B19" s="3" t="s">
        <v>80</v>
      </c>
      <c r="C19" s="3"/>
      <c r="D19" s="3"/>
      <c r="E19" s="3"/>
    </row>
    <row r="20" spans="1:5" ht="12.75" x14ac:dyDescent="0.2">
      <c r="A20">
        <v>15</v>
      </c>
      <c r="B20" t="s">
        <v>81</v>
      </c>
      <c r="C20" t="s">
        <v>60</v>
      </c>
      <c r="D20" t="s">
        <v>82</v>
      </c>
      <c r="E20" t="s">
        <v>83</v>
      </c>
    </row>
    <row r="21" spans="1:5" ht="12.75" x14ac:dyDescent="0.2">
      <c r="A21">
        <v>16</v>
      </c>
      <c r="B21" t="s">
        <v>84</v>
      </c>
      <c r="C21" t="s">
        <v>60</v>
      </c>
      <c r="D21" t="s">
        <v>82</v>
      </c>
      <c r="E21" t="s">
        <v>85</v>
      </c>
    </row>
    <row r="22" spans="1:5" ht="12.75" x14ac:dyDescent="0.2">
      <c r="A22">
        <v>17</v>
      </c>
      <c r="B22" t="s">
        <v>86</v>
      </c>
      <c r="C22" t="s">
        <v>60</v>
      </c>
      <c r="D22" t="s">
        <v>82</v>
      </c>
      <c r="E22" t="s">
        <v>87</v>
      </c>
    </row>
    <row r="23" spans="1:5" ht="12.75" x14ac:dyDescent="0.2">
      <c r="A23">
        <v>18</v>
      </c>
      <c r="B23" t="s">
        <v>88</v>
      </c>
      <c r="C23" t="s">
        <v>60</v>
      </c>
      <c r="D23" t="s">
        <v>82</v>
      </c>
      <c r="E23" t="s">
        <v>89</v>
      </c>
    </row>
    <row r="24" spans="1:5" ht="12.75" x14ac:dyDescent="0.2">
      <c r="A24" s="3" t="s">
        <v>90</v>
      </c>
      <c r="B24" s="3" t="s">
        <v>91</v>
      </c>
      <c r="C24" s="3"/>
      <c r="D24" s="3"/>
      <c r="E24" s="3"/>
    </row>
    <row r="25" spans="1:5" ht="12.75" x14ac:dyDescent="0.2">
      <c r="A25">
        <v>19</v>
      </c>
      <c r="B25" t="s">
        <v>92</v>
      </c>
      <c r="C25" t="s">
        <v>93</v>
      </c>
      <c r="D25" t="s">
        <v>53</v>
      </c>
      <c r="E25" t="s">
        <v>94</v>
      </c>
    </row>
    <row r="26" spans="1:5" ht="12.75" x14ac:dyDescent="0.2">
      <c r="A26">
        <v>20</v>
      </c>
      <c r="B26" t="s">
        <v>95</v>
      </c>
      <c r="C26" t="s">
        <v>45</v>
      </c>
      <c r="D26" t="s">
        <v>53</v>
      </c>
      <c r="E26" t="s">
        <v>96</v>
      </c>
    </row>
    <row r="27" spans="1:5" ht="12.75" x14ac:dyDescent="0.2">
      <c r="A27">
        <v>21</v>
      </c>
      <c r="B27" t="s">
        <v>97</v>
      </c>
      <c r="C27" t="s">
        <v>45</v>
      </c>
      <c r="D27" t="s">
        <v>53</v>
      </c>
      <c r="E27" t="s">
        <v>98</v>
      </c>
    </row>
    <row r="28" spans="1:5" ht="12.75" x14ac:dyDescent="0.2">
      <c r="A28">
        <v>22</v>
      </c>
      <c r="B28" t="s">
        <v>99</v>
      </c>
      <c r="C28" t="s">
        <v>93</v>
      </c>
      <c r="D28" t="s">
        <v>77</v>
      </c>
      <c r="E28" t="s">
        <v>100</v>
      </c>
    </row>
    <row r="29" spans="1:5" ht="12.75" x14ac:dyDescent="0.2">
      <c r="A29">
        <v>23</v>
      </c>
      <c r="B29" t="s">
        <v>101</v>
      </c>
      <c r="C29" t="s">
        <v>45</v>
      </c>
      <c r="D29" t="s">
        <v>53</v>
      </c>
      <c r="E29" t="s">
        <v>102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3"/>
  <sheetViews>
    <sheetView workbookViewId="0"/>
  </sheetViews>
  <sheetFormatPr defaultRowHeight="15" x14ac:dyDescent="0.2"/>
  <cols>
    <col min="1" max="1" width="6" customWidth="1"/>
    <col min="2" max="2" width="40" customWidth="1"/>
    <col min="3" max="3" width="90" customWidth="1"/>
    <col min="4" max="4" width="14" customWidth="1"/>
    <col min="5" max="5" width="26" customWidth="1"/>
  </cols>
  <sheetData>
    <row r="1" spans="1:5" ht="12.75" x14ac:dyDescent="0.2">
      <c r="A1" s="1" t="s">
        <v>103</v>
      </c>
      <c r="B1" s="1" t="s">
        <v>104</v>
      </c>
      <c r="C1" s="1" t="s">
        <v>105</v>
      </c>
      <c r="D1" s="1" t="s">
        <v>106</v>
      </c>
      <c r="E1" s="1" t="s">
        <v>107</v>
      </c>
    </row>
    <row r="2" spans="1:5" ht="12.75" x14ac:dyDescent="0.2">
      <c r="A2" s="3" t="s">
        <v>108</v>
      </c>
      <c r="B2" s="3" t="s">
        <v>109</v>
      </c>
      <c r="C2" s="3"/>
      <c r="D2" s="3"/>
      <c r="E2" s="3"/>
    </row>
    <row r="3" spans="1:5" ht="12.75" x14ac:dyDescent="0.2">
      <c r="A3" t="s">
        <v>110</v>
      </c>
      <c r="B3" t="s">
        <v>111</v>
      </c>
      <c r="C3" t="s">
        <v>112</v>
      </c>
      <c r="D3" t="s">
        <v>45</v>
      </c>
      <c r="E3" t="s">
        <v>113</v>
      </c>
    </row>
    <row r="4" spans="1:5" ht="12.75" x14ac:dyDescent="0.2">
      <c r="A4" t="s">
        <v>114</v>
      </c>
      <c r="B4" t="s">
        <v>115</v>
      </c>
      <c r="C4" t="s">
        <v>116</v>
      </c>
      <c r="D4" t="s">
        <v>45</v>
      </c>
      <c r="E4" t="s">
        <v>117</v>
      </c>
    </row>
    <row r="5" spans="1:5" ht="12.75" x14ac:dyDescent="0.2">
      <c r="A5" t="s">
        <v>118</v>
      </c>
      <c r="B5" t="s">
        <v>119</v>
      </c>
      <c r="C5" t="s">
        <v>120</v>
      </c>
      <c r="D5" t="s">
        <v>45</v>
      </c>
      <c r="E5" t="s">
        <v>121</v>
      </c>
    </row>
    <row r="6" spans="1:5" ht="12.75" x14ac:dyDescent="0.2">
      <c r="A6" t="s">
        <v>122</v>
      </c>
      <c r="B6" t="s">
        <v>123</v>
      </c>
      <c r="C6" t="s">
        <v>124</v>
      </c>
      <c r="D6" t="s">
        <v>45</v>
      </c>
      <c r="E6" t="s">
        <v>125</v>
      </c>
    </row>
    <row r="7" spans="1:5" ht="12.75" x14ac:dyDescent="0.2">
      <c r="A7" s="3" t="s">
        <v>126</v>
      </c>
      <c r="B7" s="3" t="s">
        <v>127</v>
      </c>
      <c r="C7" s="3"/>
      <c r="D7" s="3"/>
      <c r="E7" s="3"/>
    </row>
    <row r="8" spans="1:5" ht="12.75" x14ac:dyDescent="0.2">
      <c r="A8" t="s">
        <v>128</v>
      </c>
      <c r="B8" t="s">
        <v>129</v>
      </c>
      <c r="C8" t="s">
        <v>130</v>
      </c>
      <c r="D8" t="s">
        <v>45</v>
      </c>
      <c r="E8" t="s">
        <v>131</v>
      </c>
    </row>
    <row r="9" spans="1:5" ht="12.75" x14ac:dyDescent="0.2">
      <c r="A9" t="s">
        <v>132</v>
      </c>
      <c r="B9" t="s">
        <v>133</v>
      </c>
      <c r="C9" t="s">
        <v>134</v>
      </c>
      <c r="D9" t="s">
        <v>63</v>
      </c>
      <c r="E9" t="s">
        <v>135</v>
      </c>
    </row>
    <row r="10" spans="1:5" ht="12.75" x14ac:dyDescent="0.2">
      <c r="A10" s="3" t="s">
        <v>136</v>
      </c>
      <c r="B10" s="3" t="s">
        <v>137</v>
      </c>
      <c r="C10" s="3"/>
      <c r="D10" s="3"/>
      <c r="E10" s="3"/>
    </row>
    <row r="11" spans="1:5" ht="12.75" x14ac:dyDescent="0.2">
      <c r="A11" t="s">
        <v>138</v>
      </c>
      <c r="B11" t="s">
        <v>139</v>
      </c>
      <c r="C11" t="s">
        <v>140</v>
      </c>
      <c r="D11" t="s">
        <v>141</v>
      </c>
      <c r="E11" t="s">
        <v>142</v>
      </c>
    </row>
    <row r="12" spans="1:5" ht="12.75" x14ac:dyDescent="0.2">
      <c r="A12" t="s">
        <v>143</v>
      </c>
      <c r="B12" t="s">
        <v>144</v>
      </c>
      <c r="C12" t="s">
        <v>145</v>
      </c>
      <c r="D12" t="s">
        <v>45</v>
      </c>
      <c r="E12" t="s">
        <v>146</v>
      </c>
    </row>
    <row r="13" spans="1:5" ht="12.75" x14ac:dyDescent="0.2">
      <c r="A13" s="3" t="s">
        <v>147</v>
      </c>
      <c r="B13" s="3" t="s">
        <v>148</v>
      </c>
      <c r="C13" s="3"/>
      <c r="D13" s="3"/>
      <c r="E13" s="3"/>
    </row>
    <row r="14" spans="1:5" ht="12.75" x14ac:dyDescent="0.2">
      <c r="A14" t="s">
        <v>149</v>
      </c>
      <c r="B14" t="s">
        <v>150</v>
      </c>
      <c r="C14" t="s">
        <v>151</v>
      </c>
      <c r="D14" t="s">
        <v>45</v>
      </c>
      <c r="E14" t="s">
        <v>152</v>
      </c>
    </row>
    <row r="15" spans="1:5" ht="12.75" x14ac:dyDescent="0.2">
      <c r="A15" t="s">
        <v>153</v>
      </c>
      <c r="B15" t="s">
        <v>154</v>
      </c>
      <c r="C15" t="s">
        <v>155</v>
      </c>
      <c r="D15" t="s">
        <v>45</v>
      </c>
      <c r="E15" t="s">
        <v>152</v>
      </c>
    </row>
    <row r="16" spans="1:5" ht="12.75" x14ac:dyDescent="0.2">
      <c r="A16" t="s">
        <v>156</v>
      </c>
      <c r="B16" t="s">
        <v>157</v>
      </c>
      <c r="C16" t="s">
        <v>158</v>
      </c>
      <c r="D16" t="s">
        <v>45</v>
      </c>
      <c r="E16" t="s">
        <v>152</v>
      </c>
    </row>
    <row r="17" spans="1:5" ht="12.75" x14ac:dyDescent="0.2">
      <c r="A17" t="s">
        <v>159</v>
      </c>
      <c r="B17" t="s">
        <v>160</v>
      </c>
      <c r="C17" t="s">
        <v>161</v>
      </c>
      <c r="D17" t="s">
        <v>63</v>
      </c>
      <c r="E17" t="s">
        <v>152</v>
      </c>
    </row>
    <row r="18" spans="1:5" ht="12.75" x14ac:dyDescent="0.2">
      <c r="A18" t="s">
        <v>162</v>
      </c>
      <c r="B18" t="s">
        <v>163</v>
      </c>
      <c r="C18" t="s">
        <v>164</v>
      </c>
      <c r="D18" t="s">
        <v>45</v>
      </c>
      <c r="E18" t="s">
        <v>152</v>
      </c>
    </row>
    <row r="19" spans="1:5" ht="12.75" x14ac:dyDescent="0.2">
      <c r="A19" s="3" t="s">
        <v>165</v>
      </c>
      <c r="B19" s="3" t="s">
        <v>166</v>
      </c>
      <c r="C19" s="3"/>
      <c r="D19" s="3"/>
      <c r="E19" s="3"/>
    </row>
    <row r="20" spans="1:5" ht="12.75" x14ac:dyDescent="0.2">
      <c r="A20" t="s">
        <v>167</v>
      </c>
      <c r="B20" t="s">
        <v>168</v>
      </c>
      <c r="C20" t="s">
        <v>169</v>
      </c>
      <c r="D20" t="s">
        <v>45</v>
      </c>
      <c r="E20" t="s">
        <v>170</v>
      </c>
    </row>
    <row r="21" spans="1:5" ht="12.75" x14ac:dyDescent="0.2">
      <c r="A21" t="s">
        <v>171</v>
      </c>
      <c r="B21" t="s">
        <v>172</v>
      </c>
      <c r="C21" t="s">
        <v>173</v>
      </c>
      <c r="D21" t="s">
        <v>45</v>
      </c>
      <c r="E21" t="s">
        <v>174</v>
      </c>
    </row>
    <row r="22" spans="1:5" ht="12.75" x14ac:dyDescent="0.2">
      <c r="A22" t="s">
        <v>175</v>
      </c>
      <c r="B22" t="s">
        <v>176</v>
      </c>
      <c r="C22" t="s">
        <v>177</v>
      </c>
      <c r="D22" t="s">
        <v>41</v>
      </c>
      <c r="E22" t="s">
        <v>178</v>
      </c>
    </row>
    <row r="23" spans="1:5" ht="12.75" x14ac:dyDescent="0.2">
      <c r="A23" t="s">
        <v>179</v>
      </c>
      <c r="B23" t="s">
        <v>180</v>
      </c>
      <c r="C23" t="s">
        <v>181</v>
      </c>
      <c r="D23" t="s">
        <v>45</v>
      </c>
      <c r="E23" t="s">
        <v>182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8"/>
  <sheetViews>
    <sheetView workbookViewId="0">
      <selection activeCell="B14" sqref="B14"/>
    </sheetView>
  </sheetViews>
  <sheetFormatPr defaultRowHeight="12.75" x14ac:dyDescent="0.2"/>
  <cols>
    <col min="1" max="1" width="35.140625" style="9" customWidth="1"/>
    <col min="2" max="2" width="60" style="10" customWidth="1"/>
    <col min="3" max="3" width="55" style="10" customWidth="1"/>
    <col min="4" max="4" width="45" style="10" customWidth="1"/>
    <col min="5" max="5" width="14" style="10" customWidth="1"/>
    <col min="6" max="16384" width="9.140625" style="9"/>
  </cols>
  <sheetData>
    <row r="1" spans="1:5" ht="25.5" x14ac:dyDescent="0.2">
      <c r="A1" s="7" t="s">
        <v>183</v>
      </c>
      <c r="B1" s="8" t="s">
        <v>184</v>
      </c>
      <c r="C1" s="8" t="s">
        <v>185</v>
      </c>
      <c r="D1" s="8" t="s">
        <v>186</v>
      </c>
      <c r="E1" s="8" t="s">
        <v>187</v>
      </c>
    </row>
    <row r="2" spans="1:5" ht="25.5" x14ac:dyDescent="0.2">
      <c r="A2" s="9" t="s">
        <v>188</v>
      </c>
      <c r="B2" s="10" t="s">
        <v>189</v>
      </c>
      <c r="C2" s="10" t="s">
        <v>190</v>
      </c>
      <c r="D2" s="10" t="s">
        <v>191</v>
      </c>
      <c r="E2" s="10" t="s">
        <v>192</v>
      </c>
    </row>
    <row r="3" spans="1:5" ht="25.5" x14ac:dyDescent="0.2">
      <c r="A3" s="9" t="s">
        <v>193</v>
      </c>
      <c r="B3" s="10" t="s">
        <v>194</v>
      </c>
      <c r="C3" s="10" t="s">
        <v>195</v>
      </c>
      <c r="D3" s="10" t="s">
        <v>196</v>
      </c>
      <c r="E3" s="10" t="s">
        <v>197</v>
      </c>
    </row>
    <row r="4" spans="1:5" ht="38.25" x14ac:dyDescent="0.2">
      <c r="A4" s="9" t="s">
        <v>198</v>
      </c>
      <c r="B4" s="10" t="s">
        <v>199</v>
      </c>
      <c r="C4" s="10" t="s">
        <v>200</v>
      </c>
      <c r="D4" s="10" t="s">
        <v>201</v>
      </c>
      <c r="E4" s="10" t="s">
        <v>202</v>
      </c>
    </row>
    <row r="5" spans="1:5" ht="38.25" x14ac:dyDescent="0.2">
      <c r="A5" s="9" t="s">
        <v>203</v>
      </c>
      <c r="B5" s="10" t="s">
        <v>204</v>
      </c>
      <c r="C5" s="10" t="s">
        <v>205</v>
      </c>
      <c r="D5" s="10" t="s">
        <v>206</v>
      </c>
      <c r="E5" s="10" t="s">
        <v>207</v>
      </c>
    </row>
    <row r="6" spans="1:5" ht="38.25" x14ac:dyDescent="0.2">
      <c r="A6" s="9" t="s">
        <v>208</v>
      </c>
      <c r="B6" s="10" t="s">
        <v>209</v>
      </c>
      <c r="C6" s="10" t="s">
        <v>210</v>
      </c>
      <c r="D6" s="10" t="s">
        <v>211</v>
      </c>
      <c r="E6" s="10" t="s">
        <v>212</v>
      </c>
    </row>
    <row r="7" spans="1:5" ht="38.25" x14ac:dyDescent="0.2">
      <c r="A7" s="9" t="s">
        <v>213</v>
      </c>
      <c r="B7" s="10" t="s">
        <v>214</v>
      </c>
      <c r="C7" s="10" t="s">
        <v>215</v>
      </c>
      <c r="D7" s="10" t="s">
        <v>216</v>
      </c>
      <c r="E7" s="10" t="s">
        <v>217</v>
      </c>
    </row>
    <row r="8" spans="1:5" ht="25.5" x14ac:dyDescent="0.2">
      <c r="A8" s="9" t="s">
        <v>218</v>
      </c>
      <c r="B8" s="10" t="s">
        <v>219</v>
      </c>
      <c r="C8" s="10" t="s">
        <v>220</v>
      </c>
      <c r="D8" s="10" t="s">
        <v>221</v>
      </c>
      <c r="E8" s="10" t="s">
        <v>222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6"/>
  <sheetViews>
    <sheetView workbookViewId="0"/>
  </sheetViews>
  <sheetFormatPr defaultRowHeight="15" x14ac:dyDescent="0.2"/>
  <cols>
    <col min="1" max="1" width="38" customWidth="1"/>
    <col min="2" max="17" width="4.42578125" customWidth="1"/>
  </cols>
  <sheetData>
    <row r="1" spans="1:17" ht="25.5" x14ac:dyDescent="0.2">
      <c r="A1" s="1" t="s">
        <v>223</v>
      </c>
      <c r="B1" s="1" t="s">
        <v>224</v>
      </c>
      <c r="C1" s="1" t="s">
        <v>225</v>
      </c>
      <c r="D1" s="1" t="s">
        <v>226</v>
      </c>
      <c r="E1" s="1" t="s">
        <v>227</v>
      </c>
      <c r="F1" s="1" t="s">
        <v>228</v>
      </c>
      <c r="G1" s="1" t="s">
        <v>229</v>
      </c>
      <c r="H1" s="1" t="s">
        <v>230</v>
      </c>
      <c r="I1" s="1" t="s">
        <v>231</v>
      </c>
      <c r="J1" s="1" t="s">
        <v>232</v>
      </c>
      <c r="K1" s="1" t="s">
        <v>233</v>
      </c>
      <c r="L1" s="1" t="s">
        <v>234</v>
      </c>
      <c r="M1" s="1" t="s">
        <v>235</v>
      </c>
      <c r="N1" s="1" t="s">
        <v>236</v>
      </c>
      <c r="O1" s="1" t="s">
        <v>237</v>
      </c>
      <c r="P1" s="1" t="s">
        <v>238</v>
      </c>
      <c r="Q1" s="1" t="s">
        <v>239</v>
      </c>
    </row>
    <row r="2" spans="1:17" ht="12.75" x14ac:dyDescent="0.2">
      <c r="A2" t="s">
        <v>240</v>
      </c>
      <c r="B2" s="3" t="s">
        <v>241</v>
      </c>
      <c r="C2" s="3" t="s">
        <v>241</v>
      </c>
    </row>
    <row r="3" spans="1:17" ht="12.75" x14ac:dyDescent="0.2">
      <c r="A3" t="s">
        <v>242</v>
      </c>
      <c r="C3" s="3" t="s">
        <v>241</v>
      </c>
    </row>
    <row r="4" spans="1:17" ht="12.75" x14ac:dyDescent="0.2">
      <c r="A4" t="s">
        <v>243</v>
      </c>
      <c r="C4" s="3" t="s">
        <v>241</v>
      </c>
      <c r="D4" s="3" t="s">
        <v>241</v>
      </c>
      <c r="E4" s="3" t="s">
        <v>241</v>
      </c>
    </row>
    <row r="5" spans="1:17" ht="12.75" x14ac:dyDescent="0.2">
      <c r="A5" t="s">
        <v>244</v>
      </c>
      <c r="E5" s="3" t="s">
        <v>241</v>
      </c>
      <c r="F5" s="3" t="s">
        <v>241</v>
      </c>
      <c r="G5" s="3" t="s">
        <v>241</v>
      </c>
      <c r="H5" s="3" t="s">
        <v>241</v>
      </c>
    </row>
    <row r="6" spans="1:17" ht="12.75" x14ac:dyDescent="0.2">
      <c r="A6" t="s">
        <v>245</v>
      </c>
      <c r="F6" s="3" t="s">
        <v>241</v>
      </c>
      <c r="G6" s="3" t="s">
        <v>241</v>
      </c>
      <c r="H6" s="3" t="s">
        <v>241</v>
      </c>
      <c r="I6" s="3" t="s">
        <v>241</v>
      </c>
    </row>
    <row r="7" spans="1:17" ht="12.75" x14ac:dyDescent="0.2">
      <c r="A7" t="s">
        <v>246</v>
      </c>
      <c r="I7" s="3" t="s">
        <v>241</v>
      </c>
      <c r="J7" s="3" t="s">
        <v>241</v>
      </c>
      <c r="K7" s="3" t="s">
        <v>241</v>
      </c>
    </row>
    <row r="8" spans="1:17" ht="12.75" x14ac:dyDescent="0.2">
      <c r="A8" t="s">
        <v>247</v>
      </c>
      <c r="I8" s="3" t="s">
        <v>241</v>
      </c>
      <c r="J8" s="3" t="s">
        <v>241</v>
      </c>
      <c r="K8" s="3" t="s">
        <v>241</v>
      </c>
      <c r="L8" s="3" t="s">
        <v>241</v>
      </c>
    </row>
    <row r="9" spans="1:17" ht="12.75" x14ac:dyDescent="0.2">
      <c r="A9" t="s">
        <v>248</v>
      </c>
      <c r="J9" s="3" t="s">
        <v>241</v>
      </c>
      <c r="K9" s="3" t="s">
        <v>241</v>
      </c>
      <c r="L9" s="3" t="s">
        <v>241</v>
      </c>
    </row>
    <row r="10" spans="1:17" ht="12.75" x14ac:dyDescent="0.2">
      <c r="A10" t="s">
        <v>249</v>
      </c>
      <c r="K10" s="3" t="s">
        <v>241</v>
      </c>
      <c r="L10" s="3" t="s">
        <v>241</v>
      </c>
      <c r="M10" s="3" t="s">
        <v>241</v>
      </c>
    </row>
    <row r="11" spans="1:17" ht="12.75" x14ac:dyDescent="0.2">
      <c r="A11" t="s">
        <v>250</v>
      </c>
      <c r="K11" s="3" t="s">
        <v>241</v>
      </c>
      <c r="L11" s="3" t="s">
        <v>241</v>
      </c>
      <c r="M11" s="3" t="s">
        <v>241</v>
      </c>
      <c r="N11" s="3" t="s">
        <v>241</v>
      </c>
    </row>
    <row r="12" spans="1:17" ht="12.75" x14ac:dyDescent="0.2">
      <c r="A12" t="s">
        <v>251</v>
      </c>
      <c r="L12" s="3" t="s">
        <v>241</v>
      </c>
      <c r="M12" s="3" t="s">
        <v>241</v>
      </c>
      <c r="N12" s="3" t="s">
        <v>241</v>
      </c>
    </row>
    <row r="13" spans="1:17" ht="12.75" x14ac:dyDescent="0.2">
      <c r="A13" t="s">
        <v>252</v>
      </c>
      <c r="M13" s="3" t="s">
        <v>241</v>
      </c>
    </row>
    <row r="14" spans="1:17" ht="12.75" x14ac:dyDescent="0.2">
      <c r="A14" t="s">
        <v>253</v>
      </c>
      <c r="O14" s="3" t="s">
        <v>241</v>
      </c>
    </row>
    <row r="15" spans="1:17" ht="12.75" x14ac:dyDescent="0.2">
      <c r="A15" t="s">
        <v>254</v>
      </c>
      <c r="N15" s="3" t="s">
        <v>241</v>
      </c>
      <c r="O15" s="3" t="s">
        <v>241</v>
      </c>
      <c r="P15" s="3" t="s">
        <v>241</v>
      </c>
    </row>
    <row r="16" spans="1:17" ht="12.75" x14ac:dyDescent="0.2">
      <c r="A16" t="s">
        <v>255</v>
      </c>
      <c r="Q16" s="3" t="s">
        <v>241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6"/>
  <sheetViews>
    <sheetView workbookViewId="0">
      <selection activeCell="F7" sqref="F7"/>
    </sheetView>
  </sheetViews>
  <sheetFormatPr defaultRowHeight="15" x14ac:dyDescent="0.2"/>
  <cols>
    <col min="1" max="1" width="6" customWidth="1"/>
    <col min="2" max="2" width="44" customWidth="1"/>
    <col min="3" max="3" width="10" customWidth="1"/>
    <col min="4" max="5" width="12" customWidth="1"/>
    <col min="6" max="6" width="8" customWidth="1"/>
    <col min="7" max="7" width="14" customWidth="1"/>
  </cols>
  <sheetData>
    <row r="1" spans="1:7" ht="12.75" x14ac:dyDescent="0.2">
      <c r="A1" s="1" t="s">
        <v>29</v>
      </c>
      <c r="B1" s="1" t="s">
        <v>256</v>
      </c>
      <c r="C1" s="1" t="s">
        <v>257</v>
      </c>
      <c r="D1" s="1" t="s">
        <v>258</v>
      </c>
      <c r="E1" s="1" t="s">
        <v>259</v>
      </c>
      <c r="F1" s="1" t="s">
        <v>260</v>
      </c>
      <c r="G1" s="1" t="s">
        <v>261</v>
      </c>
    </row>
    <row r="2" spans="1:7" ht="12.75" x14ac:dyDescent="0.2">
      <c r="A2">
        <v>1</v>
      </c>
      <c r="B2" t="s">
        <v>262</v>
      </c>
      <c r="C2" t="s">
        <v>45</v>
      </c>
      <c r="D2" t="s">
        <v>263</v>
      </c>
      <c r="E2" s="4">
        <v>1100</v>
      </c>
      <c r="F2" s="4">
        <v>60</v>
      </c>
      <c r="G2" s="4">
        <f>E2*F2</f>
        <v>66000</v>
      </c>
    </row>
    <row r="3" spans="1:7" ht="12.75" x14ac:dyDescent="0.2">
      <c r="A3">
        <v>2</v>
      </c>
      <c r="B3" t="s">
        <v>264</v>
      </c>
      <c r="C3" t="s">
        <v>45</v>
      </c>
      <c r="D3" t="s">
        <v>263</v>
      </c>
      <c r="E3" s="4">
        <v>1100</v>
      </c>
      <c r="F3" s="4">
        <v>60</v>
      </c>
      <c r="G3" s="4">
        <f t="shared" ref="G3:G13" si="0">E3*F3</f>
        <v>66000</v>
      </c>
    </row>
    <row r="4" spans="1:7" ht="12.75" x14ac:dyDescent="0.2">
      <c r="A4">
        <v>3</v>
      </c>
      <c r="B4" t="s">
        <v>265</v>
      </c>
      <c r="C4" t="s">
        <v>45</v>
      </c>
      <c r="D4" t="s">
        <v>263</v>
      </c>
      <c r="E4" s="4">
        <v>620</v>
      </c>
      <c r="F4" s="4">
        <v>40</v>
      </c>
      <c r="G4" s="4">
        <f t="shared" si="0"/>
        <v>24800</v>
      </c>
    </row>
    <row r="5" spans="1:7" ht="12.75" x14ac:dyDescent="0.2">
      <c r="A5">
        <v>4</v>
      </c>
      <c r="B5" t="s">
        <v>266</v>
      </c>
      <c r="C5" t="s">
        <v>45</v>
      </c>
      <c r="D5" t="s">
        <v>263</v>
      </c>
      <c r="E5" s="4">
        <v>650</v>
      </c>
      <c r="F5" s="4">
        <v>20</v>
      </c>
      <c r="G5" s="4">
        <f t="shared" si="0"/>
        <v>13000</v>
      </c>
    </row>
    <row r="6" spans="1:7" ht="12.75" x14ac:dyDescent="0.2">
      <c r="A6">
        <v>5</v>
      </c>
      <c r="B6" t="s">
        <v>267</v>
      </c>
      <c r="C6" t="s">
        <v>45</v>
      </c>
      <c r="D6" t="s">
        <v>263</v>
      </c>
      <c r="E6" s="4">
        <v>550</v>
      </c>
      <c r="F6" s="4">
        <v>20</v>
      </c>
      <c r="G6" s="4">
        <f t="shared" si="0"/>
        <v>11000</v>
      </c>
    </row>
    <row r="7" spans="1:7" ht="12.75" x14ac:dyDescent="0.2">
      <c r="A7">
        <v>8</v>
      </c>
      <c r="B7" t="s">
        <v>268</v>
      </c>
      <c r="C7" t="s">
        <v>45</v>
      </c>
      <c r="D7" t="s">
        <v>269</v>
      </c>
      <c r="G7" s="4">
        <f t="shared" si="0"/>
        <v>0</v>
      </c>
    </row>
    <row r="8" spans="1:7" ht="12.75" x14ac:dyDescent="0.2">
      <c r="A8">
        <v>9</v>
      </c>
      <c r="B8" t="s">
        <v>270</v>
      </c>
      <c r="C8" t="s">
        <v>60</v>
      </c>
      <c r="D8" t="s">
        <v>263</v>
      </c>
      <c r="E8" s="4">
        <v>190</v>
      </c>
      <c r="F8" s="4">
        <v>100</v>
      </c>
      <c r="G8" s="4">
        <f t="shared" si="0"/>
        <v>19000</v>
      </c>
    </row>
    <row r="9" spans="1:7" ht="12.75" x14ac:dyDescent="0.2">
      <c r="A9">
        <v>10</v>
      </c>
      <c r="B9" t="s">
        <v>271</v>
      </c>
      <c r="C9" t="s">
        <v>60</v>
      </c>
      <c r="D9" t="s">
        <v>263</v>
      </c>
      <c r="E9" s="4">
        <v>155</v>
      </c>
      <c r="F9" s="4">
        <v>50</v>
      </c>
      <c r="G9" s="4">
        <f t="shared" si="0"/>
        <v>7750</v>
      </c>
    </row>
    <row r="10" spans="1:7" ht="12.75" x14ac:dyDescent="0.2">
      <c r="A10">
        <v>11</v>
      </c>
      <c r="B10" t="s">
        <v>272</v>
      </c>
      <c r="C10" t="s">
        <v>60</v>
      </c>
      <c r="D10" t="s">
        <v>263</v>
      </c>
      <c r="E10" s="4">
        <v>140</v>
      </c>
      <c r="F10" s="4">
        <v>15</v>
      </c>
      <c r="G10" s="4">
        <f t="shared" si="0"/>
        <v>2100</v>
      </c>
    </row>
    <row r="11" spans="1:7" ht="12.75" x14ac:dyDescent="0.2">
      <c r="A11">
        <v>12</v>
      </c>
      <c r="B11" t="s">
        <v>273</v>
      </c>
      <c r="C11" t="s">
        <v>60</v>
      </c>
      <c r="D11" t="s">
        <v>263</v>
      </c>
      <c r="E11" s="4">
        <v>180</v>
      </c>
      <c r="F11" s="4">
        <v>10</v>
      </c>
      <c r="G11" s="4">
        <f t="shared" si="0"/>
        <v>1800</v>
      </c>
    </row>
    <row r="12" spans="1:7" ht="12.75" x14ac:dyDescent="0.2">
      <c r="A12">
        <v>13</v>
      </c>
      <c r="B12" t="s">
        <v>274</v>
      </c>
      <c r="C12" t="s">
        <v>60</v>
      </c>
      <c r="D12" t="s">
        <v>263</v>
      </c>
      <c r="E12" s="4">
        <v>125</v>
      </c>
      <c r="F12" s="4">
        <v>15</v>
      </c>
      <c r="G12" s="4">
        <f t="shared" si="0"/>
        <v>1875</v>
      </c>
    </row>
    <row r="13" spans="1:7" ht="12.75" x14ac:dyDescent="0.2">
      <c r="A13">
        <v>14</v>
      </c>
      <c r="B13" t="s">
        <v>275</v>
      </c>
      <c r="C13" t="s">
        <v>60</v>
      </c>
      <c r="D13" t="s">
        <v>263</v>
      </c>
      <c r="E13" s="4">
        <v>70</v>
      </c>
      <c r="F13" s="4">
        <v>30</v>
      </c>
      <c r="G13" s="4">
        <f t="shared" si="0"/>
        <v>2100</v>
      </c>
    </row>
    <row r="14" spans="1:7" ht="12.75" x14ac:dyDescent="0.2">
      <c r="A14">
        <v>17</v>
      </c>
      <c r="B14" t="s">
        <v>276</v>
      </c>
      <c r="C14" t="s">
        <v>60</v>
      </c>
      <c r="D14" t="s">
        <v>269</v>
      </c>
      <c r="G14" s="4">
        <v>4500</v>
      </c>
    </row>
    <row r="15" spans="1:7" ht="12.75" x14ac:dyDescent="0.2">
      <c r="A15" s="3"/>
      <c r="B15" s="3" t="s">
        <v>277</v>
      </c>
      <c r="C15" s="3"/>
      <c r="D15" s="3"/>
      <c r="E15" s="3"/>
      <c r="F15" s="3"/>
      <c r="G15" s="5">
        <f>SUM(G2:G7)</f>
        <v>180800</v>
      </c>
    </row>
    <row r="16" spans="1:7" ht="12.75" x14ac:dyDescent="0.2">
      <c r="A16" s="3"/>
      <c r="B16" s="3" t="s">
        <v>278</v>
      </c>
      <c r="C16" s="3"/>
      <c r="D16" s="3"/>
      <c r="E16" s="3"/>
      <c r="F16" s="3"/>
      <c r="G16" s="5">
        <f>SUM(G8:G14)</f>
        <v>39125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9"/>
  <sheetViews>
    <sheetView tabSelected="1" workbookViewId="0">
      <selection activeCell="C14" sqref="C14"/>
    </sheetView>
  </sheetViews>
  <sheetFormatPr defaultRowHeight="15" x14ac:dyDescent="0.2"/>
  <cols>
    <col min="1" max="1" width="10" customWidth="1"/>
    <col min="2" max="2" width="80" customWidth="1"/>
    <col min="3" max="3" width="16" customWidth="1"/>
  </cols>
  <sheetData>
    <row r="1" spans="1:3" ht="12.75" x14ac:dyDescent="0.2">
      <c r="A1" s="1" t="s">
        <v>279</v>
      </c>
      <c r="B1" s="1" t="s">
        <v>280</v>
      </c>
      <c r="C1" s="1" t="s">
        <v>261</v>
      </c>
    </row>
    <row r="2" spans="1:3" ht="12.75" x14ac:dyDescent="0.2">
      <c r="A2" t="s">
        <v>34</v>
      </c>
      <c r="B2" t="s">
        <v>281</v>
      </c>
      <c r="C2" s="4">
        <f>'Staffing &amp; Rates'!G15</f>
        <v>180800</v>
      </c>
    </row>
    <row r="3" spans="1:3" ht="12.75" x14ac:dyDescent="0.2">
      <c r="A3" t="s">
        <v>57</v>
      </c>
      <c r="B3" t="s">
        <v>282</v>
      </c>
      <c r="C3" s="4">
        <f>'Staffing &amp; Rates'!G16</f>
        <v>39125</v>
      </c>
    </row>
    <row r="4" spans="1:3" ht="12.75" x14ac:dyDescent="0.2">
      <c r="A4" t="s">
        <v>79</v>
      </c>
      <c r="B4" t="s">
        <v>283</v>
      </c>
      <c r="C4" s="4">
        <v>16000</v>
      </c>
    </row>
    <row r="5" spans="1:3" ht="12.75" x14ac:dyDescent="0.2">
      <c r="A5" t="s">
        <v>90</v>
      </c>
      <c r="B5" t="s">
        <v>284</v>
      </c>
      <c r="C5" s="4">
        <v>16500</v>
      </c>
    </row>
    <row r="6" spans="1:3" ht="12.75" x14ac:dyDescent="0.2">
      <c r="A6" t="s">
        <v>285</v>
      </c>
      <c r="B6" t="s">
        <v>286</v>
      </c>
      <c r="C6" s="4">
        <v>7000</v>
      </c>
    </row>
    <row r="7" spans="1:3" ht="12.75" x14ac:dyDescent="0.2">
      <c r="A7" t="s">
        <v>287</v>
      </c>
      <c r="B7" t="s">
        <v>288</v>
      </c>
      <c r="C7" s="4">
        <v>8000</v>
      </c>
    </row>
    <row r="8" spans="1:3" ht="12.75" x14ac:dyDescent="0.2">
      <c r="A8" s="3"/>
      <c r="B8" s="3" t="s">
        <v>289</v>
      </c>
      <c r="C8" s="5">
        <f>SUM(C2:C7)</f>
        <v>267425</v>
      </c>
    </row>
    <row r="9" spans="1:3" ht="12.75" x14ac:dyDescent="0.2">
      <c r="B9" t="s">
        <v>290</v>
      </c>
      <c r="C9" s="4">
        <f>C8*0.3</f>
        <v>80227.5</v>
      </c>
    </row>
    <row r="10" spans="1:3" ht="12.75" x14ac:dyDescent="0.2">
      <c r="A10" s="3"/>
      <c r="B10" s="3" t="s">
        <v>291</v>
      </c>
      <c r="C10" s="5">
        <f>C8+C9</f>
        <v>347652.5</v>
      </c>
    </row>
    <row r="11" spans="1:3" ht="12.75" x14ac:dyDescent="0.2">
      <c r="B11" t="s">
        <v>292</v>
      </c>
      <c r="C11" s="4"/>
    </row>
    <row r="12" spans="1:3" ht="12.75" x14ac:dyDescent="0.2">
      <c r="B12" t="s">
        <v>293</v>
      </c>
      <c r="C12" s="4">
        <f>C10*0.025</f>
        <v>8691.3125</v>
      </c>
    </row>
    <row r="13" spans="1:3" ht="12.75" x14ac:dyDescent="0.2">
      <c r="A13" s="3"/>
      <c r="B13" s="3" t="s">
        <v>294</v>
      </c>
      <c r="C13" s="5">
        <f>C10+C12</f>
        <v>356343.8125</v>
      </c>
    </row>
    <row r="14" spans="1:3" ht="12.75" x14ac:dyDescent="0.2"/>
    <row r="15" spans="1:3" ht="12.75" x14ac:dyDescent="0.2">
      <c r="A15" s="6" t="s">
        <v>295</v>
      </c>
    </row>
    <row r="16" spans="1:3" ht="12.75" x14ac:dyDescent="0.2">
      <c r="A16" t="s">
        <v>296</v>
      </c>
    </row>
    <row r="17" spans="1:1" ht="12.75" x14ac:dyDescent="0.2">
      <c r="A17" t="s">
        <v>297</v>
      </c>
    </row>
    <row r="18" spans="1:1" ht="12.75" x14ac:dyDescent="0.2">
      <c r="A18" t="s">
        <v>298</v>
      </c>
    </row>
    <row r="19" spans="1:1" ht="12.75" x14ac:dyDescent="0.2">
      <c r="A19" t="s">
        <v>299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2"/>
  <sheetViews>
    <sheetView workbookViewId="0"/>
  </sheetViews>
  <sheetFormatPr defaultRowHeight="15" x14ac:dyDescent="0.2"/>
  <cols>
    <col min="1" max="1" width="34" customWidth="1"/>
    <col min="2" max="2" width="40" customWidth="1"/>
    <col min="3" max="3" width="10" customWidth="1"/>
    <col min="4" max="4" width="80" customWidth="1"/>
    <col min="5" max="5" width="14" customWidth="1"/>
  </cols>
  <sheetData>
    <row r="1" spans="1:5" ht="12.75" x14ac:dyDescent="0.2">
      <c r="A1" s="1" t="s">
        <v>300</v>
      </c>
      <c r="B1" s="1" t="s">
        <v>301</v>
      </c>
      <c r="C1" s="1" t="s">
        <v>257</v>
      </c>
      <c r="D1" s="1" t="s">
        <v>302</v>
      </c>
      <c r="E1" s="1" t="s">
        <v>303</v>
      </c>
    </row>
    <row r="2" spans="1:5" ht="12.75" x14ac:dyDescent="0.2">
      <c r="A2" t="s">
        <v>262</v>
      </c>
      <c r="B2" t="s">
        <v>304</v>
      </c>
      <c r="C2" t="s">
        <v>45</v>
      </c>
      <c r="D2" t="s">
        <v>305</v>
      </c>
      <c r="E2" t="s">
        <v>306</v>
      </c>
    </row>
    <row r="3" spans="1:5" ht="12.75" x14ac:dyDescent="0.2">
      <c r="A3" t="s">
        <v>264</v>
      </c>
      <c r="B3" t="s">
        <v>307</v>
      </c>
      <c r="C3" t="s">
        <v>45</v>
      </c>
      <c r="D3" t="s">
        <v>308</v>
      </c>
      <c r="E3" t="s">
        <v>306</v>
      </c>
    </row>
    <row r="4" spans="1:5" ht="12.75" x14ac:dyDescent="0.2">
      <c r="A4" t="s">
        <v>265</v>
      </c>
      <c r="B4" t="s">
        <v>309</v>
      </c>
      <c r="C4" t="s">
        <v>45</v>
      </c>
      <c r="D4" t="s">
        <v>310</v>
      </c>
      <c r="E4" t="s">
        <v>306</v>
      </c>
    </row>
    <row r="5" spans="1:5" ht="12.75" x14ac:dyDescent="0.2">
      <c r="A5" t="s">
        <v>266</v>
      </c>
      <c r="B5" t="s">
        <v>311</v>
      </c>
      <c r="C5" t="s">
        <v>45</v>
      </c>
      <c r="D5" t="s">
        <v>312</v>
      </c>
      <c r="E5" t="s">
        <v>306</v>
      </c>
    </row>
    <row r="6" spans="1:5" ht="12.75" x14ac:dyDescent="0.2">
      <c r="A6" t="s">
        <v>267</v>
      </c>
      <c r="B6" t="s">
        <v>313</v>
      </c>
      <c r="C6" t="s">
        <v>45</v>
      </c>
      <c r="D6" t="s">
        <v>314</v>
      </c>
      <c r="E6" t="s">
        <v>306</v>
      </c>
    </row>
    <row r="7" spans="1:5" ht="12.75" x14ac:dyDescent="0.2">
      <c r="A7" t="s">
        <v>315</v>
      </c>
      <c r="B7" t="s">
        <v>316</v>
      </c>
      <c r="C7" t="s">
        <v>60</v>
      </c>
      <c r="D7" t="s">
        <v>317</v>
      </c>
      <c r="E7" t="s">
        <v>318</v>
      </c>
    </row>
    <row r="8" spans="1:5" ht="12.75" x14ac:dyDescent="0.2">
      <c r="A8" t="s">
        <v>271</v>
      </c>
      <c r="B8" t="s">
        <v>319</v>
      </c>
      <c r="C8" t="s">
        <v>60</v>
      </c>
      <c r="D8" t="s">
        <v>320</v>
      </c>
      <c r="E8" t="s">
        <v>318</v>
      </c>
    </row>
    <row r="9" spans="1:5" ht="12.75" x14ac:dyDescent="0.2">
      <c r="A9" t="s">
        <v>272</v>
      </c>
      <c r="B9" t="s">
        <v>319</v>
      </c>
      <c r="C9" t="s">
        <v>60</v>
      </c>
      <c r="D9" t="s">
        <v>321</v>
      </c>
      <c r="E9" t="s">
        <v>318</v>
      </c>
    </row>
    <row r="10" spans="1:5" ht="12.75" x14ac:dyDescent="0.2">
      <c r="A10" t="s">
        <v>273</v>
      </c>
      <c r="B10" t="s">
        <v>319</v>
      </c>
      <c r="C10" t="s">
        <v>60</v>
      </c>
      <c r="D10" t="s">
        <v>322</v>
      </c>
      <c r="E10" t="s">
        <v>318</v>
      </c>
    </row>
    <row r="11" spans="1:5" ht="12.75" x14ac:dyDescent="0.2">
      <c r="A11" t="s">
        <v>323</v>
      </c>
      <c r="B11" t="s">
        <v>324</v>
      </c>
      <c r="C11" t="s">
        <v>45</v>
      </c>
      <c r="D11" t="s">
        <v>325</v>
      </c>
      <c r="E11" t="s">
        <v>326</v>
      </c>
    </row>
    <row r="12" spans="1:5" ht="12.75" x14ac:dyDescent="0.2">
      <c r="A12" t="s">
        <v>327</v>
      </c>
      <c r="B12" t="s">
        <v>328</v>
      </c>
      <c r="C12" t="s">
        <v>93</v>
      </c>
      <c r="D12" t="s">
        <v>329</v>
      </c>
      <c r="E12" t="s">
        <v>326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3"/>
  <sheetViews>
    <sheetView workbookViewId="0"/>
  </sheetViews>
  <sheetFormatPr defaultRowHeight="15" x14ac:dyDescent="0.2"/>
  <cols>
    <col min="1" max="1" width="4" customWidth="1"/>
    <col min="2" max="2" width="42" customWidth="1"/>
    <col min="3" max="3" width="110" customWidth="1"/>
  </cols>
  <sheetData>
    <row r="1" spans="1:3" ht="12.75" x14ac:dyDescent="0.2">
      <c r="A1" s="1" t="s">
        <v>330</v>
      </c>
      <c r="B1" s="1" t="s">
        <v>331</v>
      </c>
      <c r="C1" s="1" t="s">
        <v>332</v>
      </c>
    </row>
    <row r="2" spans="1:3" ht="12.75" x14ac:dyDescent="0.2">
      <c r="A2">
        <v>1</v>
      </c>
      <c r="B2" t="s">
        <v>333</v>
      </c>
      <c r="C2" t="s">
        <v>334</v>
      </c>
    </row>
    <row r="3" spans="1:3" ht="12.75" x14ac:dyDescent="0.2">
      <c r="A3">
        <v>2</v>
      </c>
      <c r="B3" t="s">
        <v>335</v>
      </c>
      <c r="C3" t="s">
        <v>336</v>
      </c>
    </row>
    <row r="4" spans="1:3" ht="12.75" x14ac:dyDescent="0.2">
      <c r="A4">
        <v>3</v>
      </c>
      <c r="B4" t="s">
        <v>337</v>
      </c>
      <c r="C4" t="s">
        <v>338</v>
      </c>
    </row>
    <row r="5" spans="1:3" ht="12.75" x14ac:dyDescent="0.2">
      <c r="A5">
        <v>4</v>
      </c>
      <c r="B5" t="s">
        <v>339</v>
      </c>
      <c r="C5" t="s">
        <v>340</v>
      </c>
    </row>
    <row r="6" spans="1:3" ht="12.75" x14ac:dyDescent="0.2">
      <c r="A6">
        <v>5</v>
      </c>
      <c r="B6" t="s">
        <v>341</v>
      </c>
      <c r="C6" t="s">
        <v>342</v>
      </c>
    </row>
    <row r="7" spans="1:3" ht="12.75" x14ac:dyDescent="0.2">
      <c r="A7">
        <v>6</v>
      </c>
      <c r="B7" t="s">
        <v>343</v>
      </c>
      <c r="C7" t="s">
        <v>344</v>
      </c>
    </row>
    <row r="8" spans="1:3" ht="12.75" x14ac:dyDescent="0.2">
      <c r="A8">
        <v>7</v>
      </c>
      <c r="B8" t="s">
        <v>345</v>
      </c>
      <c r="C8" t="s">
        <v>346</v>
      </c>
    </row>
    <row r="9" spans="1:3" ht="12.75" x14ac:dyDescent="0.2">
      <c r="A9">
        <v>8</v>
      </c>
      <c r="B9" t="s">
        <v>347</v>
      </c>
      <c r="C9" t="s">
        <v>348</v>
      </c>
    </row>
    <row r="10" spans="1:3" ht="12.75" x14ac:dyDescent="0.2">
      <c r="A10">
        <v>9</v>
      </c>
      <c r="B10" t="s">
        <v>349</v>
      </c>
      <c r="C10" t="s">
        <v>350</v>
      </c>
    </row>
    <row r="11" spans="1:3" ht="12.75" x14ac:dyDescent="0.2">
      <c r="A11">
        <v>10</v>
      </c>
      <c r="B11" t="s">
        <v>351</v>
      </c>
      <c r="C11" t="s">
        <v>352</v>
      </c>
    </row>
    <row r="12" spans="1:3" ht="12.75" x14ac:dyDescent="0.2">
      <c r="A12">
        <v>11</v>
      </c>
      <c r="B12" t="s">
        <v>353</v>
      </c>
      <c r="C12" t="s">
        <v>354</v>
      </c>
    </row>
    <row r="13" spans="1:3" ht="12.75" x14ac:dyDescent="0.2">
      <c r="A13">
        <v>12</v>
      </c>
      <c r="B13" t="s">
        <v>355</v>
      </c>
      <c r="C13" t="s">
        <v>356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3"/>
  <sheetViews>
    <sheetView workbookViewId="0"/>
  </sheetViews>
  <sheetFormatPr defaultRowHeight="15" x14ac:dyDescent="0.2"/>
  <cols>
    <col min="1" max="1" width="4" customWidth="1"/>
    <col min="2" max="2" width="60" customWidth="1"/>
    <col min="3" max="3" width="22" customWidth="1"/>
    <col min="4" max="4" width="70" customWidth="1"/>
  </cols>
  <sheetData>
    <row r="1" spans="1:4" ht="12.75" x14ac:dyDescent="0.2">
      <c r="A1" s="1" t="s">
        <v>330</v>
      </c>
      <c r="B1" s="1" t="s">
        <v>280</v>
      </c>
      <c r="C1" s="1" t="s">
        <v>357</v>
      </c>
      <c r="D1" s="1" t="s">
        <v>358</v>
      </c>
    </row>
    <row r="2" spans="1:4" ht="12.75" x14ac:dyDescent="0.2">
      <c r="A2">
        <v>1</v>
      </c>
      <c r="B2" t="s">
        <v>359</v>
      </c>
      <c r="C2" t="s">
        <v>360</v>
      </c>
      <c r="D2" t="s">
        <v>361</v>
      </c>
    </row>
    <row r="3" spans="1:4" ht="12.75" x14ac:dyDescent="0.2">
      <c r="A3">
        <v>2</v>
      </c>
      <c r="B3" t="s">
        <v>362</v>
      </c>
      <c r="C3" t="s">
        <v>60</v>
      </c>
      <c r="D3" t="s">
        <v>363</v>
      </c>
    </row>
    <row r="4" spans="1:4" ht="12.75" x14ac:dyDescent="0.2">
      <c r="A4">
        <v>3</v>
      </c>
      <c r="B4" t="s">
        <v>364</v>
      </c>
      <c r="C4" t="s">
        <v>60</v>
      </c>
      <c r="D4" t="s">
        <v>365</v>
      </c>
    </row>
    <row r="5" spans="1:4" ht="12.75" x14ac:dyDescent="0.2">
      <c r="A5">
        <v>4</v>
      </c>
      <c r="B5" t="s">
        <v>366</v>
      </c>
      <c r="C5" t="s">
        <v>367</v>
      </c>
      <c r="D5" t="s">
        <v>368</v>
      </c>
    </row>
    <row r="6" spans="1:4" ht="12.75" x14ac:dyDescent="0.2">
      <c r="A6">
        <v>5</v>
      </c>
      <c r="B6" t="s">
        <v>369</v>
      </c>
      <c r="C6" t="s">
        <v>37</v>
      </c>
      <c r="D6" t="s">
        <v>370</v>
      </c>
    </row>
    <row r="7" spans="1:4" ht="12.75" x14ac:dyDescent="0.2">
      <c r="A7">
        <v>6</v>
      </c>
      <c r="B7" t="s">
        <v>371</v>
      </c>
      <c r="C7" t="s">
        <v>372</v>
      </c>
      <c r="D7" t="s">
        <v>373</v>
      </c>
    </row>
    <row r="8" spans="1:4" ht="12.75" x14ac:dyDescent="0.2">
      <c r="A8">
        <v>7</v>
      </c>
      <c r="B8" t="s">
        <v>374</v>
      </c>
      <c r="C8" t="s">
        <v>375</v>
      </c>
      <c r="D8" t="s">
        <v>376</v>
      </c>
    </row>
    <row r="9" spans="1:4" ht="12.75" x14ac:dyDescent="0.2">
      <c r="A9">
        <v>8</v>
      </c>
      <c r="B9" t="s">
        <v>377</v>
      </c>
      <c r="C9" t="s">
        <v>60</v>
      </c>
      <c r="D9" t="s">
        <v>378</v>
      </c>
    </row>
    <row r="10" spans="1:4" ht="12.75" x14ac:dyDescent="0.2">
      <c r="A10">
        <v>9</v>
      </c>
      <c r="B10" t="s">
        <v>379</v>
      </c>
      <c r="C10" t="s">
        <v>367</v>
      </c>
      <c r="D10" t="s">
        <v>380</v>
      </c>
    </row>
    <row r="11" spans="1:4" ht="12.75" x14ac:dyDescent="0.2">
      <c r="A11">
        <v>10</v>
      </c>
      <c r="B11" t="s">
        <v>381</v>
      </c>
      <c r="C11" t="s">
        <v>60</v>
      </c>
      <c r="D11" t="s">
        <v>382</v>
      </c>
    </row>
    <row r="12" spans="1:4" ht="12.75" x14ac:dyDescent="0.2">
      <c r="A12">
        <v>11</v>
      </c>
      <c r="B12" t="s">
        <v>383</v>
      </c>
      <c r="C12" t="s">
        <v>60</v>
      </c>
      <c r="D12" t="s">
        <v>384</v>
      </c>
    </row>
    <row r="13" spans="1:4" ht="12.75" x14ac:dyDescent="0.2">
      <c r="A13">
        <v>12</v>
      </c>
      <c r="B13" t="s">
        <v>385</v>
      </c>
      <c r="C13" t="s">
        <v>41</v>
      </c>
      <c r="D13" t="s">
        <v>386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cols>
    <col min="1" max="1" width="5" customWidth="1"/>
    <col min="2" max="2" width="16" customWidth="1"/>
    <col min="3" max="3" width="38" customWidth="1"/>
    <col min="4" max="4" width="18" customWidth="1"/>
    <col min="5" max="5" width="6" customWidth="1"/>
    <col min="6" max="6" width="6" customWidth="1"/>
    <col min="7" max="7" width="6" customWidth="1"/>
    <col min="8" max="8" width="6" customWidth="1"/>
    <col min="9" max="9" width="6" customWidth="1"/>
    <col min="10" max="10" width="6" customWidth="1"/>
    <col min="11" max="11" width="6" customWidth="1"/>
    <col min="12" max="12" width="13" customWidth="1"/>
    <col min="13" max="13" width="12" customWidth="1"/>
  </cols>
  <sheetData>
    <row r="1">
      <c r="A1" t="inlineStr">
        <is>
          <t xml:space="preserve">FORM TECH-7 — STAFFING SCHEDULE (RFP p. Forms-10)</t>
        </is>
      </c>
    </row>
    <row r="2">
      <c r="A2" t="inlineStr">
        <is>
          <t xml:space="preserve">Programme: 25 weeks ≈ 6 months (M6 = weeks 21–25). O = office input, F = field input (man-days). 1 staff-month = 21 working days. Names to be inserted from signed CVs (one candidate per position).</t>
        </is>
      </c>
    </row>
    <row r="3"/>
    <row r="4">
      <c r="A4" t="inlineStr">
        <is>
          <t xml:space="preserve">No</t>
        </is>
      </c>
      <c r="B4" t="inlineStr">
        <is>
          <t xml:space="preserve">Name</t>
        </is>
      </c>
      <c r="C4" t="inlineStr">
        <is>
          <t xml:space="preserve">Position</t>
        </is>
      </c>
      <c r="D4" t="inlineStr">
        <is>
          <t xml:space="preserve">Party</t>
        </is>
      </c>
      <c r="E4" t="inlineStr">
        <is>
          <t xml:space="preserve">Type</t>
        </is>
      </c>
      <c r="F4" t="inlineStr">
        <is>
          <t xml:space="preserve">M1</t>
        </is>
      </c>
      <c r="G4" t="inlineStr">
        <is>
          <t xml:space="preserve">M2</t>
        </is>
      </c>
      <c r="H4" t="inlineStr">
        <is>
          <t xml:space="preserve">M3</t>
        </is>
      </c>
      <c r="I4" t="inlineStr">
        <is>
          <t xml:space="preserve">M4</t>
        </is>
      </c>
      <c r="J4" t="inlineStr">
        <is>
          <t xml:space="preserve">M5</t>
        </is>
      </c>
      <c r="K4" t="inlineStr">
        <is>
          <t xml:space="preserve">M6</t>
        </is>
      </c>
      <c r="L4" t="inlineStr">
        <is>
          <t xml:space="preserve">Total man-days</t>
        </is>
      </c>
      <c r="M4" t="inlineStr">
        <is>
          <t xml:space="preserve">Staff-months</t>
        </is>
      </c>
    </row>
    <row r="5">
      <c r="A5">
        <v>1</v>
      </c>
      <c r="B5" t="inlineStr">
        <is>
          <t xml:space="preserve">[insert name]</t>
        </is>
      </c>
      <c r="C5" t="inlineStr">
        <is>
          <t xml:space="preserve">Team Leader</t>
        </is>
      </c>
      <c r="D5" t="inlineStr">
        <is>
          <t xml:space="preserve">Foreign — Abatis</t>
        </is>
      </c>
      <c r="E5" t="inlineStr">
        <is>
          <t xml:space="preserve">O</t>
        </is>
      </c>
      <c r="F5">
        <v>10</v>
      </c>
      <c r="G5">
        <v>8</v>
      </c>
      <c r="H5">
        <v>8</v>
      </c>
      <c r="I5">
        <v>8</v>
      </c>
      <c r="J5">
        <v>8</v>
      </c>
      <c r="K5">
        <v>8</v>
      </c>
      <c r="L5">
        <v>50</v>
      </c>
      <c r="M5">
        <v>2.38</v>
      </c>
    </row>
    <row r="6">
      <c r="E6" t="inlineStr">
        <is>
          <t xml:space="preserve">F</t>
        </is>
      </c>
      <c r="F6">
        <v>0</v>
      </c>
      <c r="G6">
        <v>5</v>
      </c>
      <c r="H6">
        <v>0</v>
      </c>
      <c r="I6">
        <v>5</v>
      </c>
      <c r="J6">
        <v>0</v>
      </c>
      <c r="K6">
        <v>0</v>
      </c>
      <c r="L6">
        <v>10</v>
      </c>
      <c r="M6">
        <v>0.48</v>
      </c>
    </row>
    <row r="7">
      <c r="A7">
        <v>2</v>
      </c>
      <c r="B7" t="inlineStr">
        <is>
          <t xml:space="preserve">[insert name]</t>
        </is>
      </c>
      <c r="C7" t="inlineStr">
        <is>
          <t xml:space="preserve">Senior OT/ICS Cybersecurity Specialist</t>
        </is>
      </c>
      <c r="D7" t="inlineStr">
        <is>
          <t xml:space="preserve">Foreign — Abatis</t>
        </is>
      </c>
      <c r="E7" t="inlineStr">
        <is>
          <t xml:space="preserve">O</t>
        </is>
      </c>
      <c r="F7">
        <v>6</v>
      </c>
      <c r="G7">
        <v>8</v>
      </c>
      <c r="H7">
        <v>8</v>
      </c>
      <c r="I7">
        <v>8</v>
      </c>
      <c r="J7">
        <v>6</v>
      </c>
      <c r="K7">
        <v>4</v>
      </c>
      <c r="L7">
        <v>40</v>
      </c>
      <c r="M7">
        <v>1.9</v>
      </c>
    </row>
    <row r="8">
      <c r="E8" t="inlineStr">
        <is>
          <t xml:space="preserve">F</t>
        </is>
      </c>
      <c r="F8">
        <v>0</v>
      </c>
      <c r="G8">
        <v>10</v>
      </c>
      <c r="H8">
        <v>0</v>
      </c>
      <c r="I8">
        <v>10</v>
      </c>
      <c r="J8">
        <v>0</v>
      </c>
      <c r="K8">
        <v>0</v>
      </c>
      <c r="L8">
        <v>20</v>
      </c>
      <c r="M8">
        <v>0.95</v>
      </c>
    </row>
    <row r="9">
      <c r="A9">
        <v>3</v>
      </c>
      <c r="B9" t="inlineStr">
        <is>
          <t xml:space="preserve">[insert name]</t>
        </is>
      </c>
      <c r="C9" t="inlineStr">
        <is>
          <t xml:space="preserve">Cybersecurity Governance Specialist</t>
        </is>
      </c>
      <c r="D9" t="inlineStr">
        <is>
          <t xml:space="preserve">Foreign — Abatis</t>
        </is>
      </c>
      <c r="E9" t="inlineStr">
        <is>
          <t xml:space="preserve">O</t>
        </is>
      </c>
      <c r="F9">
        <v>4</v>
      </c>
      <c r="G9">
        <v>8</v>
      </c>
      <c r="H9">
        <v>8</v>
      </c>
      <c r="I9">
        <v>8</v>
      </c>
      <c r="J9">
        <v>8</v>
      </c>
      <c r="K9">
        <v>4</v>
      </c>
      <c r="L9">
        <v>40</v>
      </c>
      <c r="M9">
        <v>1.9</v>
      </c>
    </row>
    <row r="10">
      <c r="A10">
        <v>4</v>
      </c>
      <c r="B10" t="inlineStr">
        <is>
          <t xml:space="preserve">[insert name]</t>
        </is>
      </c>
      <c r="C10" t="inlineStr">
        <is>
          <t xml:space="preserve">IEC 62443 / C2M2 Specialist</t>
        </is>
      </c>
      <c r="D10" t="inlineStr">
        <is>
          <t xml:space="preserve">Foreign — Abatis</t>
        </is>
      </c>
      <c r="E10" t="inlineStr">
        <is>
          <t xml:space="preserve">O</t>
        </is>
      </c>
      <c r="F10">
        <v>2</v>
      </c>
      <c r="G10">
        <v>4</v>
      </c>
      <c r="H10">
        <v>4</v>
      </c>
      <c r="I10">
        <v>4</v>
      </c>
      <c r="J10">
        <v>4</v>
      </c>
      <c r="K10">
        <v>2</v>
      </c>
      <c r="L10">
        <v>20</v>
      </c>
      <c r="M10">
        <v>0.95</v>
      </c>
    </row>
    <row r="11">
      <c r="A11">
        <v>5</v>
      </c>
      <c r="B11" t="inlineStr">
        <is>
          <t xml:space="preserve">[insert name]</t>
        </is>
      </c>
      <c r="C11" t="inlineStr">
        <is>
          <t xml:space="preserve">Training &amp; Capacity Building Specialist</t>
        </is>
      </c>
      <c r="D11" t="inlineStr">
        <is>
          <t xml:space="preserve">Foreign — Abatis</t>
        </is>
      </c>
      <c r="E11" t="inlineStr">
        <is>
          <t xml:space="preserve">O</t>
        </is>
      </c>
      <c r="F11">
        <v>0</v>
      </c>
      <c r="G11">
        <v>2</v>
      </c>
      <c r="H11">
        <v>2</v>
      </c>
      <c r="I11">
        <v>4</v>
      </c>
      <c r="J11">
        <v>6</v>
      </c>
      <c r="K11">
        <v>6</v>
      </c>
      <c r="L11">
        <v>20</v>
      </c>
      <c r="M11">
        <v>0.95</v>
      </c>
    </row>
    <row r="12">
      <c r="C12" t="inlineStr">
        <is>
          <t xml:space="preserve">Subtotal — Foreign (Abatis)</t>
        </is>
      </c>
      <c r="E12" t="inlineStr">
        <is>
          <t xml:space="preserve">O+F</t>
        </is>
      </c>
      <c r="F12">
        <v>22</v>
      </c>
      <c r="G12">
        <v>45</v>
      </c>
      <c r="H12">
        <v>30</v>
      </c>
      <c r="I12">
        <v>47</v>
      </c>
      <c r="J12">
        <v>32</v>
      </c>
      <c r="K12">
        <v>24</v>
      </c>
      <c r="L12">
        <v>200</v>
      </c>
      <c r="M12">
        <v>9.52</v>
      </c>
    </row>
    <row r="13">
      <c r="A13">
        <v>6</v>
      </c>
      <c r="B13" t="inlineStr">
        <is>
          <t xml:space="preserve">[EML nominee]</t>
        </is>
      </c>
      <c r="C13" t="inlineStr">
        <is>
          <t xml:space="preserve">Power Systems / SCADA Engineer (DPM)</t>
        </is>
      </c>
      <c r="D13" t="inlineStr">
        <is>
          <t xml:space="preserve">National — EML</t>
        </is>
      </c>
      <c r="E13" t="inlineStr">
        <is>
          <t xml:space="preserve">O</t>
        </is>
      </c>
      <c r="F13">
        <v>6</v>
      </c>
      <c r="G13">
        <v>10</v>
      </c>
      <c r="H13">
        <v>12</v>
      </c>
      <c r="I13">
        <v>12</v>
      </c>
      <c r="J13">
        <v>12</v>
      </c>
      <c r="K13">
        <v>8</v>
      </c>
      <c r="L13">
        <v>60</v>
      </c>
      <c r="M13">
        <v>2.86</v>
      </c>
    </row>
    <row r="14">
      <c r="E14" t="inlineStr">
        <is>
          <t xml:space="preserve">F</t>
        </is>
      </c>
      <c r="F14">
        <v>0</v>
      </c>
      <c r="G14">
        <v>12</v>
      </c>
      <c r="H14">
        <v>8</v>
      </c>
      <c r="I14">
        <v>12</v>
      </c>
      <c r="J14">
        <v>8</v>
      </c>
      <c r="K14">
        <v>0</v>
      </c>
      <c r="L14">
        <v>40</v>
      </c>
      <c r="M14">
        <v>1.9</v>
      </c>
    </row>
    <row r="15">
      <c r="A15">
        <v>7</v>
      </c>
      <c r="B15" t="inlineStr">
        <is>
          <t xml:space="preserve">[EML nominee]</t>
        </is>
      </c>
      <c r="C15" t="inlineStr">
        <is>
          <t xml:space="preserve">Local Electrical Engineer</t>
        </is>
      </c>
      <c r="D15" t="inlineStr">
        <is>
          <t xml:space="preserve">National — EML</t>
        </is>
      </c>
      <c r="E15" t="inlineStr">
        <is>
          <t xml:space="preserve">O</t>
        </is>
      </c>
      <c r="F15">
        <v>2</v>
      </c>
      <c r="G15">
        <v>4</v>
      </c>
      <c r="H15">
        <v>6</v>
      </c>
      <c r="I15">
        <v>4</v>
      </c>
      <c r="J15">
        <v>4</v>
      </c>
      <c r="K15">
        <v>0</v>
      </c>
      <c r="L15">
        <v>20</v>
      </c>
      <c r="M15">
        <v>0.95</v>
      </c>
    </row>
    <row r="16">
      <c r="E16" t="inlineStr">
        <is>
          <t xml:space="preserve">F</t>
        </is>
      </c>
      <c r="F16">
        <v>0</v>
      </c>
      <c r="G16">
        <v>10</v>
      </c>
      <c r="H16">
        <v>5</v>
      </c>
      <c r="I16">
        <v>10</v>
      </c>
      <c r="J16">
        <v>5</v>
      </c>
      <c r="K16">
        <v>0</v>
      </c>
      <c r="L16">
        <v>30</v>
      </c>
      <c r="M16">
        <v>1.43</v>
      </c>
    </row>
    <row r="17">
      <c r="A17">
        <v>8</v>
      </c>
      <c r="B17" t="inlineStr">
        <is>
          <t xml:space="preserve">[EML nominee]</t>
        </is>
      </c>
      <c r="C17" t="inlineStr">
        <is>
          <t xml:space="preserve">Stakeholder Engagement Specialist</t>
        </is>
      </c>
      <c r="D17" t="inlineStr">
        <is>
          <t xml:space="preserve">National — EML</t>
        </is>
      </c>
      <c r="E17" t="inlineStr">
        <is>
          <t xml:space="preserve">O</t>
        </is>
      </c>
      <c r="F17">
        <v>3</v>
      </c>
      <c r="G17">
        <v>3</v>
      </c>
      <c r="H17">
        <v>3</v>
      </c>
      <c r="I17">
        <v>2</v>
      </c>
      <c r="J17">
        <v>2</v>
      </c>
      <c r="K17">
        <v>2</v>
      </c>
      <c r="L17">
        <v>15</v>
      </c>
      <c r="M17">
        <v>0.71</v>
      </c>
    </row>
    <row r="18">
      <c r="A18">
        <v>9</v>
      </c>
      <c r="B18" t="inlineStr">
        <is>
          <t xml:space="preserve">[EML nominee]</t>
        </is>
      </c>
      <c r="C18" t="inlineStr">
        <is>
          <t xml:space="preserve">QA/QC Manager</t>
        </is>
      </c>
      <c r="D18" t="inlineStr">
        <is>
          <t xml:space="preserve">National — EML</t>
        </is>
      </c>
      <c r="E18" t="inlineStr">
        <is>
          <t xml:space="preserve">O</t>
        </is>
      </c>
      <c r="F18">
        <v>1</v>
      </c>
      <c r="G18">
        <v>2</v>
      </c>
      <c r="H18">
        <v>2</v>
      </c>
      <c r="I18">
        <v>2</v>
      </c>
      <c r="J18">
        <v>2</v>
      </c>
      <c r="K18">
        <v>1</v>
      </c>
      <c r="L18">
        <v>10</v>
      </c>
      <c r="M18">
        <v>0.48</v>
      </c>
    </row>
    <row r="19">
      <c r="A19">
        <v>10</v>
      </c>
      <c r="B19" t="inlineStr">
        <is>
          <t xml:space="preserve">[EML nominee]</t>
        </is>
      </c>
      <c r="C19" t="inlineStr">
        <is>
          <t xml:space="preserve">Technical Report Coordinator</t>
        </is>
      </c>
      <c r="D19" t="inlineStr">
        <is>
          <t xml:space="preserve">National — EML</t>
        </is>
      </c>
      <c r="E19" t="inlineStr">
        <is>
          <t xml:space="preserve">O</t>
        </is>
      </c>
      <c r="F19">
        <v>1</v>
      </c>
      <c r="G19">
        <v>2</v>
      </c>
      <c r="H19">
        <v>3</v>
      </c>
      <c r="I19">
        <v>3</v>
      </c>
      <c r="J19">
        <v>3</v>
      </c>
      <c r="K19">
        <v>3</v>
      </c>
      <c r="L19">
        <v>15</v>
      </c>
      <c r="M19">
        <v>0.71</v>
      </c>
    </row>
    <row r="20">
      <c r="A20">
        <v>11</v>
      </c>
      <c r="B20" t="inlineStr">
        <is>
          <t xml:space="preserve">[EML nominee]</t>
        </is>
      </c>
      <c r="C20" t="inlineStr">
        <is>
          <t xml:space="preserve">Project Administrator</t>
        </is>
      </c>
      <c r="D20" t="inlineStr">
        <is>
          <t xml:space="preserve">National — EML</t>
        </is>
      </c>
      <c r="E20" t="inlineStr">
        <is>
          <t xml:space="preserve">O</t>
        </is>
      </c>
      <c r="F20">
        <v>5</v>
      </c>
      <c r="G20">
        <v>5</v>
      </c>
      <c r="H20">
        <v>5</v>
      </c>
      <c r="I20">
        <v>5</v>
      </c>
      <c r="J20">
        <v>5</v>
      </c>
      <c r="K20">
        <v>5</v>
      </c>
      <c r="L20">
        <v>30</v>
      </c>
      <c r="M20">
        <v>1.43</v>
      </c>
    </row>
    <row r="21">
      <c r="C21" t="inlineStr">
        <is>
          <t xml:space="preserve">Subtotal — National (EML)</t>
        </is>
      </c>
      <c r="E21" t="inlineStr">
        <is>
          <t xml:space="preserve">O+F</t>
        </is>
      </c>
      <c r="F21">
        <v>18</v>
      </c>
      <c r="G21">
        <v>48</v>
      </c>
      <c r="H21">
        <v>44</v>
      </c>
      <c r="I21">
        <v>50</v>
      </c>
      <c r="J21">
        <v>41</v>
      </c>
      <c r="K21">
        <v>19</v>
      </c>
      <c r="L21">
        <v>220</v>
      </c>
      <c r="M21">
        <v>10.48</v>
      </c>
    </row>
    <row r="22">
      <c r="C22" t="inlineStr">
        <is>
          <t xml:space="preserve">TOTAL</t>
        </is>
      </c>
      <c r="F22">
        <v>40</v>
      </c>
      <c r="G22">
        <v>93</v>
      </c>
      <c r="H22">
        <v>74</v>
      </c>
      <c r="I22">
        <v>97</v>
      </c>
      <c r="J22">
        <v>73</v>
      </c>
      <c r="K22">
        <v>43</v>
      </c>
      <c r="L22">
        <v>420</v>
      </c>
      <c r="M22">
        <v>20.0</v>
      </c>
    </row>
    <row r="23"/>
    <row r="24">
      <c r="A24" t="inlineStr">
        <is>
          <t xml:space="preserve">Field input reflects two international missions (M2 and M4; ≈20 Abatis site-days) plus EML's continuous local field programme (70 field days).</t>
        </is>
      </c>
    </row>
    <row r="25">
      <c r="A25" t="inlineStr">
        <is>
          <t xml:space="preserve">NOTE — pricing decision pending (gap S5): RFP expected man-days for scored positions are TL 30 / Specialist 60 / SCADA 50 (pp. DATA-3–4); table shows current agreed loading.</t>
        </is>
      </c>
    </row>
  </sheetData>
</worksheet>
</file>

<file path=xl/worksheets/sheet12.xml><?xml version="1.0" encoding="utf-8"?>
<worksheet xmlns="http://schemas.openxmlformats.org/spreadsheetml/2006/main">
  <cols>
    <col min="1" max="1" width="62" customWidth="1"/>
    <col min="2" max="2" width="4.2" customWidth="1"/>
    <col min="3" max="3" width="4.2" customWidth="1"/>
    <col min="4" max="4" width="4.2" customWidth="1"/>
    <col min="5" max="5" width="4.2" customWidth="1"/>
    <col min="6" max="6" width="4.2" customWidth="1"/>
    <col min="7" max="7" width="4.2" customWidth="1"/>
    <col min="8" max="8" width="4.2" customWidth="1"/>
    <col min="9" max="9" width="4.2" customWidth="1"/>
    <col min="10" max="10" width="4.2" customWidth="1"/>
    <col min="11" max="11" width="4.2" customWidth="1"/>
    <col min="12" max="12" width="4.2" customWidth="1"/>
    <col min="13" max="13" width="4.2" customWidth="1"/>
    <col min="14" max="14" width="4.2" customWidth="1"/>
    <col min="15" max="15" width="4.2" customWidth="1"/>
    <col min="16" max="16" width="4.2" customWidth="1"/>
    <col min="17" max="17" width="4.2" customWidth="1"/>
    <col min="18" max="18" width="4.2" customWidth="1"/>
    <col min="19" max="19" width="4.2" customWidth="1"/>
    <col min="20" max="20" width="4.2" customWidth="1"/>
    <col min="21" max="21" width="4.2" customWidth="1"/>
    <col min="22" max="22" width="4.2" customWidth="1"/>
    <col min="23" max="23" width="4.2" customWidth="1"/>
    <col min="24" max="24" width="4.2" customWidth="1"/>
    <col min="25" max="25" width="4.2" customWidth="1"/>
    <col min="26" max="26" width="4.2" customWidth="1"/>
  </cols>
  <sheetData>
    <row r="1">
      <c r="A1" t="inlineStr">
        <is>
          <t xml:space="preserve">FORM TECH-8 — WORK SCHEDULE / 25-WEEK GANTT (RFP p. Forms-11; deliverables &amp; payments per TOR §6–7, pp. GC-7–GC-9)</t>
        </is>
      </c>
    </row>
    <row r="2">
      <c r="A2" t="inlineStr">
        <is>
          <t xml:space="preserve">█ = activity in progress   ◆ = contract deliverable (payment milestone)   ▲ = workshop</t>
        </is>
      </c>
    </row>
    <row r="3"/>
    <row r="4">
      <c r="A4" t="inlineStr">
        <is>
          <t xml:space="preserve">Activity / Deliverable</t>
        </is>
      </c>
      <c r="B4" t="inlineStr">
        <is>
          <t xml:space="preserve">W1</t>
        </is>
      </c>
      <c r="C4" t="inlineStr">
        <is>
          <t xml:space="preserve">W2</t>
        </is>
      </c>
      <c r="D4" t="inlineStr">
        <is>
          <t xml:space="preserve">W3</t>
        </is>
      </c>
      <c r="E4" t="inlineStr">
        <is>
          <t xml:space="preserve">W4</t>
        </is>
      </c>
      <c r="F4" t="inlineStr">
        <is>
          <t xml:space="preserve">W5</t>
        </is>
      </c>
      <c r="G4" t="inlineStr">
        <is>
          <t xml:space="preserve">W6</t>
        </is>
      </c>
      <c r="H4" t="inlineStr">
        <is>
          <t xml:space="preserve">W7</t>
        </is>
      </c>
      <c r="I4" t="inlineStr">
        <is>
          <t xml:space="preserve">W8</t>
        </is>
      </c>
      <c r="J4" t="inlineStr">
        <is>
          <t xml:space="preserve">W9</t>
        </is>
      </c>
      <c r="K4" t="inlineStr">
        <is>
          <t xml:space="preserve">W10</t>
        </is>
      </c>
      <c r="L4" t="inlineStr">
        <is>
          <t xml:space="preserve">W11</t>
        </is>
      </c>
      <c r="M4" t="inlineStr">
        <is>
          <t xml:space="preserve">W12</t>
        </is>
      </c>
      <c r="N4" t="inlineStr">
        <is>
          <t xml:space="preserve">W13</t>
        </is>
      </c>
      <c r="O4" t="inlineStr">
        <is>
          <t xml:space="preserve">W14</t>
        </is>
      </c>
      <c r="P4" t="inlineStr">
        <is>
          <t xml:space="preserve">W15</t>
        </is>
      </c>
      <c r="Q4" t="inlineStr">
        <is>
          <t xml:space="preserve">W16</t>
        </is>
      </c>
      <c r="R4" t="inlineStr">
        <is>
          <t xml:space="preserve">W17</t>
        </is>
      </c>
      <c r="S4" t="inlineStr">
        <is>
          <t xml:space="preserve">W18</t>
        </is>
      </c>
      <c r="T4" t="inlineStr">
        <is>
          <t xml:space="preserve">W19</t>
        </is>
      </c>
      <c r="U4" t="inlineStr">
        <is>
          <t xml:space="preserve">W20</t>
        </is>
      </c>
      <c r="V4" t="inlineStr">
        <is>
          <t xml:space="preserve">W21</t>
        </is>
      </c>
      <c r="W4" t="inlineStr">
        <is>
          <t xml:space="preserve">W22</t>
        </is>
      </c>
      <c r="X4" t="inlineStr">
        <is>
          <t xml:space="preserve">W23</t>
        </is>
      </c>
      <c r="Y4" t="inlineStr">
        <is>
          <t xml:space="preserve">W24</t>
        </is>
      </c>
      <c r="Z4" t="inlineStr">
        <is>
          <t xml:space="preserve">W25</t>
        </is>
      </c>
    </row>
    <row r="5">
      <c r="A5" t="inlineStr">
        <is>
          <t xml:space="preserve">Mobilisation, NDA execution, kick-off</t>
        </is>
      </c>
      <c r="B5" t="inlineStr">
        <is>
          <t xml:space="preserve">█</t>
        </is>
      </c>
      <c r="C5" t="inlineStr">
        <is>
          <t xml:space="preserve">▲</t>
        </is>
      </c>
    </row>
    <row r="6">
      <c r="A6" t="inlineStr">
        <is>
          <t xml:space="preserve">Methodology confirmation &amp; data-request register</t>
        </is>
      </c>
      <c r="B6" t="inlineStr">
        <is>
          <t xml:space="preserve">█</t>
        </is>
      </c>
      <c r="C6" t="inlineStr">
        <is>
          <t xml:space="preserve">█</t>
        </is>
      </c>
      <c r="D6" t="inlineStr">
        <is>
          <t xml:space="preserve">█</t>
        </is>
      </c>
      <c r="E6" t="inlineStr">
        <is>
          <t xml:space="preserve">█</t>
        </is>
      </c>
    </row>
    <row r="7">
      <c r="A7" t="inlineStr">
        <is>
          <t xml:space="preserve">D1 — INCEPTION REPORT (10% payment)</t>
        </is>
      </c>
      <c r="E7" t="inlineStr">
        <is>
          <t xml:space="preserve">◆</t>
        </is>
      </c>
    </row>
    <row r="8">
      <c r="A8" t="inlineStr">
        <is>
          <t xml:space="preserve">Information gathering &amp; document review</t>
        </is>
      </c>
      <c r="D8" t="inlineStr">
        <is>
          <t xml:space="preserve">█</t>
        </is>
      </c>
      <c r="E8" t="inlineStr">
        <is>
          <t xml:space="preserve">█</t>
        </is>
      </c>
      <c r="F8" t="inlineStr">
        <is>
          <t xml:space="preserve">█</t>
        </is>
      </c>
      <c r="G8" t="inlineStr">
        <is>
          <t xml:space="preserve">█</t>
        </is>
      </c>
      <c r="H8" t="inlineStr">
        <is>
          <t xml:space="preserve">█</t>
        </is>
      </c>
      <c r="I8" t="inlineStr">
        <is>
          <t xml:space="preserve">█</t>
        </is>
      </c>
    </row>
    <row r="9">
      <c r="A9" t="inlineStr">
        <is>
          <t xml:space="preserve">Site mission 1 (NSCC + 2 facilities)</t>
        </is>
      </c>
      <c r="F9" t="inlineStr">
        <is>
          <t xml:space="preserve">█</t>
        </is>
      </c>
      <c r="G9" t="inlineStr">
        <is>
          <t xml:space="preserve">█</t>
        </is>
      </c>
    </row>
    <row r="10">
      <c r="A10" t="inlineStr">
        <is>
          <t xml:space="preserve">Multi-level interviews</t>
        </is>
      </c>
      <c r="F10" t="inlineStr">
        <is>
          <t xml:space="preserve">█</t>
        </is>
      </c>
      <c r="G10" t="inlineStr">
        <is>
          <t xml:space="preserve">█</t>
        </is>
      </c>
      <c r="H10" t="inlineStr">
        <is>
          <t xml:space="preserve">█</t>
        </is>
      </c>
      <c r="I10" t="inlineStr">
        <is>
          <t xml:space="preserve">█</t>
        </is>
      </c>
      <c r="J10" t="inlineStr">
        <is>
          <t xml:space="preserve">█</t>
        </is>
      </c>
      <c r="K10" t="inlineStr">
        <is>
          <t xml:space="preserve">█</t>
        </is>
      </c>
    </row>
    <row r="11">
      <c r="A11" t="inlineStr">
        <is>
          <t xml:space="preserve">D2 — INTERIM PROGRESS REPORT (20%)</t>
        </is>
      </c>
      <c r="I11" t="inlineStr">
        <is>
          <t xml:space="preserve">◆</t>
        </is>
      </c>
    </row>
    <row r="12">
      <c r="A12" t="inlineStr">
        <is>
          <t xml:space="preserve">Site mission 2 (remaining facilities)</t>
        </is>
      </c>
      <c r="J12" t="inlineStr">
        <is>
          <t xml:space="preserve">█</t>
        </is>
      </c>
      <c r="K12" t="inlineStr">
        <is>
          <t xml:space="preserve">█</t>
        </is>
      </c>
    </row>
    <row r="13">
      <c r="A13" t="inlineStr">
        <is>
          <t xml:space="preserve">1.1 C2M2 Maturity Assessment Report (10 domains, MIL scoring)</t>
        </is>
      </c>
      <c r="I13" t="inlineStr">
        <is>
          <t xml:space="preserve">█</t>
        </is>
      </c>
      <c r="J13" t="inlineStr">
        <is>
          <t xml:space="preserve">█</t>
        </is>
      </c>
      <c r="K13" t="inlineStr">
        <is>
          <t xml:space="preserve">█</t>
        </is>
      </c>
      <c r="L13" t="inlineStr">
        <is>
          <t xml:space="preserve">█</t>
        </is>
      </c>
      <c r="M13" t="inlineStr">
        <is>
          <t xml:space="preserve">█</t>
        </is>
      </c>
      <c r="N13" t="inlineStr">
        <is>
          <t xml:space="preserve">█</t>
        </is>
      </c>
      <c r="O13" t="inlineStr">
        <is>
          <t xml:space="preserve">█</t>
        </is>
      </c>
    </row>
    <row r="14">
      <c r="A14" t="inlineStr">
        <is>
          <t xml:space="preserve">1.2 Technical Vulnerability &amp; Gap Analysis Report (SCADA/EMS, DNP3/IEC 61850)</t>
        </is>
      </c>
      <c r="I14" t="inlineStr">
        <is>
          <t xml:space="preserve">█</t>
        </is>
      </c>
      <c r="J14" t="inlineStr">
        <is>
          <t xml:space="preserve">█</t>
        </is>
      </c>
      <c r="K14" t="inlineStr">
        <is>
          <t xml:space="preserve">█</t>
        </is>
      </c>
      <c r="L14" t="inlineStr">
        <is>
          <t xml:space="preserve">█</t>
        </is>
      </c>
      <c r="M14" t="inlineStr">
        <is>
          <t xml:space="preserve">█</t>
        </is>
      </c>
      <c r="N14" t="inlineStr">
        <is>
          <t xml:space="preserve">█</t>
        </is>
      </c>
      <c r="O14" t="inlineStr">
        <is>
          <t xml:space="preserve">█</t>
        </is>
      </c>
    </row>
    <row r="15">
      <c r="A15" t="inlineStr">
        <is>
          <t xml:space="preserve">1.3 International Standards Alignment Matrix (ISO 27001, IEC 62443, NIST CSF)</t>
        </is>
      </c>
      <c r="K15" t="inlineStr">
        <is>
          <t xml:space="preserve">█</t>
        </is>
      </c>
      <c r="L15" t="inlineStr">
        <is>
          <t xml:space="preserve">█</t>
        </is>
      </c>
      <c r="M15" t="inlineStr">
        <is>
          <t xml:space="preserve">█</t>
        </is>
      </c>
      <c r="N15" t="inlineStr">
        <is>
          <t xml:space="preserve">█</t>
        </is>
      </c>
      <c r="O15" t="inlineStr">
        <is>
          <t xml:space="preserve">█</t>
        </is>
      </c>
    </row>
    <row r="16">
      <c r="A16" t="inlineStr">
        <is>
          <t xml:space="preserve">2.2 Verified Evidence Ledger (continuous compilation)</t>
        </is>
      </c>
      <c r="F16" t="inlineStr">
        <is>
          <t xml:space="preserve">█</t>
        </is>
      </c>
      <c r="G16" t="inlineStr">
        <is>
          <t xml:space="preserve">█</t>
        </is>
      </c>
      <c r="H16" t="inlineStr">
        <is>
          <t xml:space="preserve">█</t>
        </is>
      </c>
      <c r="I16" t="inlineStr">
        <is>
          <t xml:space="preserve">█</t>
        </is>
      </c>
      <c r="J16" t="inlineStr">
        <is>
          <t xml:space="preserve">█</t>
        </is>
      </c>
      <c r="K16" t="inlineStr">
        <is>
          <t xml:space="preserve">█</t>
        </is>
      </c>
      <c r="L16" t="inlineStr">
        <is>
          <t xml:space="preserve">█</t>
        </is>
      </c>
      <c r="M16" t="inlineStr">
        <is>
          <t xml:space="preserve">█</t>
        </is>
      </c>
      <c r="N16" t="inlineStr">
        <is>
          <t xml:space="preserve">█</t>
        </is>
      </c>
      <c r="O16" t="inlineStr">
        <is>
          <t xml:space="preserve">█</t>
        </is>
      </c>
      <c r="P16" t="inlineStr">
        <is>
          <t xml:space="preserve">█</t>
        </is>
      </c>
      <c r="Q16" t="inlineStr">
        <is>
          <t xml:space="preserve">█</t>
        </is>
      </c>
    </row>
    <row r="17">
      <c r="A17" t="inlineStr">
        <is>
          <t xml:space="preserve">2.1 Maturity Profile &amp; Executive Dashboard</t>
        </is>
      </c>
      <c r="M17" t="inlineStr">
        <is>
          <t xml:space="preserve">█</t>
        </is>
      </c>
      <c r="N17" t="inlineStr">
        <is>
          <t xml:space="preserve">█</t>
        </is>
      </c>
      <c r="O17" t="inlineStr">
        <is>
          <t xml:space="preserve">█</t>
        </is>
      </c>
      <c r="P17" t="inlineStr">
        <is>
          <t xml:space="preserve">█</t>
        </is>
      </c>
      <c r="Q17" t="inlineStr">
        <is>
          <t xml:space="preserve">█</t>
        </is>
      </c>
    </row>
    <row r="18">
      <c r="A18" t="inlineStr">
        <is>
          <t xml:space="preserve">D3 — DATA ASSESSMENT &amp; PRELIMINARY FINDINGS REPORT (20%)</t>
        </is>
      </c>
      <c r="Q18" t="inlineStr">
        <is>
          <t xml:space="preserve">◆</t>
        </is>
      </c>
    </row>
    <row r="19">
      <c r="A19" t="inlineStr">
        <is>
          <t xml:space="preserve">2.3 Cybersecurity Remediation Roadmap (prioritised, cost-aware)</t>
        </is>
      </c>
      <c r="O19" t="inlineStr">
        <is>
          <t xml:space="preserve">█</t>
        </is>
      </c>
      <c r="P19" t="inlineStr">
        <is>
          <t xml:space="preserve">█</t>
        </is>
      </c>
      <c r="Q19" t="inlineStr">
        <is>
          <t xml:space="preserve">█</t>
        </is>
      </c>
      <c r="R19" t="inlineStr">
        <is>
          <t xml:space="preserve">█</t>
        </is>
      </c>
      <c r="S19" t="inlineStr">
        <is>
          <t xml:space="preserve">█</t>
        </is>
      </c>
    </row>
    <row r="20">
      <c r="A20" t="inlineStr">
        <is>
          <t xml:space="preserve">3.1 Cybersecurity Policy &amp; Standards Manual (target MILs)</t>
        </is>
      </c>
      <c r="O20" t="inlineStr">
        <is>
          <t xml:space="preserve">█</t>
        </is>
      </c>
      <c r="P20" t="inlineStr">
        <is>
          <t xml:space="preserve">█</t>
        </is>
      </c>
      <c r="Q20" t="inlineStr">
        <is>
          <t xml:space="preserve">█</t>
        </is>
      </c>
      <c r="R20" t="inlineStr">
        <is>
          <t xml:space="preserve">█</t>
        </is>
      </c>
      <c r="S20" t="inlineStr">
        <is>
          <t xml:space="preserve">█</t>
        </is>
      </c>
      <c r="T20" t="inlineStr">
        <is>
          <t xml:space="preserve">█</t>
        </is>
      </c>
    </row>
    <row r="21">
      <c r="A21" t="inlineStr">
        <is>
          <t xml:space="preserve">3.2 Audit Program &amp; RACI Matrix (checklists, audit cycle)</t>
        </is>
      </c>
      <c r="P21" t="inlineStr">
        <is>
          <t xml:space="preserve">█</t>
        </is>
      </c>
      <c r="Q21" t="inlineStr">
        <is>
          <t xml:space="preserve">█</t>
        </is>
      </c>
      <c r="R21" t="inlineStr">
        <is>
          <t xml:space="preserve">█</t>
        </is>
      </c>
      <c r="S21" t="inlineStr">
        <is>
          <t xml:space="preserve">█</t>
        </is>
      </c>
      <c r="T21" t="inlineStr">
        <is>
          <t xml:space="preserve">█</t>
        </is>
      </c>
      <c r="U21" t="inlineStr">
        <is>
          <t xml:space="preserve">█</t>
        </is>
      </c>
    </row>
    <row r="22">
      <c r="A22" t="inlineStr">
        <is>
          <t xml:space="preserve">3.3 Performance Metrics &amp; Re-assessment Protocol (KPIs)</t>
        </is>
      </c>
      <c r="Q22" t="inlineStr">
        <is>
          <t xml:space="preserve">█</t>
        </is>
      </c>
      <c r="R22" t="inlineStr">
        <is>
          <t xml:space="preserve">█</t>
        </is>
      </c>
      <c r="S22" t="inlineStr">
        <is>
          <t xml:space="preserve">█</t>
        </is>
      </c>
      <c r="T22" t="inlineStr">
        <is>
          <t xml:space="preserve">█</t>
        </is>
      </c>
      <c r="U22" t="inlineStr">
        <is>
          <t xml:space="preserve">█</t>
        </is>
      </c>
    </row>
    <row r="23">
      <c r="A23" t="inlineStr">
        <is>
          <t xml:space="preserve">Workshop — Technical Findings &amp; Governance Framework</t>
        </is>
      </c>
      <c r="R23" t="inlineStr">
        <is>
          <t xml:space="preserve">▲</t>
        </is>
      </c>
    </row>
    <row r="24">
      <c r="A24" t="inlineStr">
        <is>
          <t xml:space="preserve">PILOT VALIDATION of Audit Framework on selected systems (TOR §e)</t>
        </is>
      </c>
      <c r="S24" t="inlineStr">
        <is>
          <t xml:space="preserve">█</t>
        </is>
      </c>
      <c r="T24" t="inlineStr">
        <is>
          <t xml:space="preserve">█</t>
        </is>
      </c>
      <c r="U24" t="inlineStr">
        <is>
          <t xml:space="preserve">█</t>
        </is>
      </c>
      <c r="V24" t="inlineStr">
        <is>
          <t xml:space="preserve">█</t>
        </is>
      </c>
    </row>
    <row r="25">
      <c r="A25" t="inlineStr">
        <is>
          <t xml:space="preserve">Framework refinement from pilot; TNO internal-audit guidelines &amp; tools</t>
        </is>
      </c>
      <c r="U25" t="inlineStr">
        <is>
          <t xml:space="preserve">█</t>
        </is>
      </c>
      <c r="V25" t="inlineStr">
        <is>
          <t xml:space="preserve">█</t>
        </is>
      </c>
      <c r="W25" t="inlineStr">
        <is>
          <t xml:space="preserve">█</t>
        </is>
      </c>
    </row>
    <row r="26">
      <c r="A26" t="inlineStr">
        <is>
          <t xml:space="preserve">4.1 Operational Toolkit Package (risk registers, IR templates, dashboards)</t>
        </is>
      </c>
      <c r="Q26" t="inlineStr">
        <is>
          <t xml:space="preserve">█</t>
        </is>
      </c>
      <c r="R26" t="inlineStr">
        <is>
          <t xml:space="preserve">█</t>
        </is>
      </c>
      <c r="S26" t="inlineStr">
        <is>
          <t xml:space="preserve">█</t>
        </is>
      </c>
      <c r="T26" t="inlineStr">
        <is>
          <t xml:space="preserve">█</t>
        </is>
      </c>
      <c r="U26" t="inlineStr">
        <is>
          <t xml:space="preserve">█</t>
        </is>
      </c>
      <c r="V26" t="inlineStr">
        <is>
          <t xml:space="preserve">█</t>
        </is>
      </c>
    </row>
    <row r="27">
      <c r="A27" t="inlineStr">
        <is>
          <t xml:space="preserve">4.2 Standard Operating Procedures (SOPs)</t>
        </is>
      </c>
      <c r="R27" t="inlineStr">
        <is>
          <t xml:space="preserve">█</t>
        </is>
      </c>
      <c r="S27" t="inlineStr">
        <is>
          <t xml:space="preserve">█</t>
        </is>
      </c>
      <c r="T27" t="inlineStr">
        <is>
          <t xml:space="preserve">█</t>
        </is>
      </c>
      <c r="U27" t="inlineStr">
        <is>
          <t xml:space="preserve">█</t>
        </is>
      </c>
      <c r="V27" t="inlineStr">
        <is>
          <t xml:space="preserve">█</t>
        </is>
      </c>
    </row>
    <row r="28">
      <c r="A28" t="inlineStr">
        <is>
          <t xml:space="preserve">4.3 Regulatory Compliance Sustainability Guide</t>
        </is>
      </c>
      <c r="S28" t="inlineStr">
        <is>
          <t xml:space="preserve">█</t>
        </is>
      </c>
      <c r="T28" t="inlineStr">
        <is>
          <t xml:space="preserve">█</t>
        </is>
      </c>
      <c r="U28" t="inlineStr">
        <is>
          <t xml:space="preserve">█</t>
        </is>
      </c>
      <c r="V28" t="inlineStr">
        <is>
          <t xml:space="preserve">█</t>
        </is>
      </c>
      <c r="W28" t="inlineStr">
        <is>
          <t xml:space="preserve">█</t>
        </is>
      </c>
    </row>
    <row r="29">
      <c r="A29" t="inlineStr">
        <is>
          <t xml:space="preserve">Workshop — Knowledge Transfer (auditor enablement)</t>
        </is>
      </c>
      <c r="V29" t="inlineStr">
        <is>
          <t xml:space="preserve">▲</t>
        </is>
      </c>
    </row>
    <row r="30">
      <c r="A30" t="inlineStr">
        <is>
          <t xml:space="preserve">D4 — DRAFT FINAL REPORT (30%)</t>
        </is>
      </c>
      <c r="W30" t="inlineStr">
        <is>
          <t xml:space="preserve">◆</t>
        </is>
      </c>
    </row>
    <row r="31">
      <c r="A31" t="inlineStr">
        <is>
          <t xml:space="preserve">Client review &amp; incorporation of comments</t>
        </is>
      </c>
      <c r="W31" t="inlineStr">
        <is>
          <t xml:space="preserve">█</t>
        </is>
      </c>
      <c r="X31" t="inlineStr">
        <is>
          <t xml:space="preserve">█</t>
        </is>
      </c>
      <c r="Y31" t="inlineStr">
        <is>
          <t xml:space="preserve">█</t>
        </is>
      </c>
    </row>
    <row r="32">
      <c r="A32" t="inlineStr">
        <is>
          <t xml:space="preserve">4.4 Knowledge Transfer &amp; Training Report</t>
        </is>
      </c>
      <c r="V32" t="inlineStr">
        <is>
          <t xml:space="preserve">█</t>
        </is>
      </c>
      <c r="W32" t="inlineStr">
        <is>
          <t xml:space="preserve">█</t>
        </is>
      </c>
      <c r="X32" t="inlineStr">
        <is>
          <t xml:space="preserve">█</t>
        </is>
      </c>
      <c r="Y32" t="inlineStr">
        <is>
          <t xml:space="preserve">█</t>
        </is>
      </c>
    </row>
    <row r="33">
      <c r="A33" t="inlineStr">
        <is>
          <t xml:space="preserve">Workshop — Executive Presentation &amp; Final</t>
        </is>
      </c>
      <c r="Y33" t="inlineStr">
        <is>
          <t xml:space="preserve">▲</t>
        </is>
      </c>
    </row>
    <row r="34">
      <c r="A34" t="inlineStr">
        <is>
          <t xml:space="preserve">D5 — FINAL REPORT &amp; close-out (20%)</t>
        </is>
      </c>
      <c r="Z34" t="inlineStr">
        <is>
          <t xml:space="preserve">◆</t>
        </is>
      </c>
    </row>
    <row r="35"/>
    <row r="36">
      <c r="A36" t="inlineStr">
        <is>
          <t xml:space="preserve">Payment milestones per TOR §6 (pp. GC-7–GC-8): D1 W4 = 10%; D2 W8 = 20%; D3 W16 = 20%; D4 W22 = 30%; D5 W25 = 20%. Duration 25 weeks per TOR §7 (p. GC-9).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Overview</vt:lpstr>
      <vt:lpstr>Submission Checklist</vt:lpstr>
      <vt:lpstr>Technical Response Matrix</vt:lpstr>
      <vt:lpstr>Approach &amp; Methodology</vt:lpstr>
      <vt:lpstr>Work Plan (16 wks)</vt:lpstr>
      <vt:lpstr>Staffing &amp; Rates</vt:lpstr>
      <vt:lpstr>Financial Summary</vt:lpstr>
      <vt:lpstr>Key Personnel</vt:lpstr>
      <vt:lpstr>Q&amp;A Answers</vt:lpstr>
      <vt:lpstr>Outstanding Items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 Barter</cp:lastModifiedBy>
  <dcterms:modified xsi:type="dcterms:W3CDTF">2026-07-29T08:24:35Z</dcterms:modified>
</cp:coreProperties>
</file>